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25027387\Downloads\"/>
    </mc:Choice>
  </mc:AlternateContent>
  <xr:revisionPtr revIDLastSave="0" documentId="8_{0B8626F8-B630-4DD4-B132-12AA9B6B5FC4}" xr6:coauthVersionLast="47" xr6:coauthVersionMax="47" xr10:uidLastSave="{00000000-0000-0000-0000-000000000000}"/>
  <bookViews>
    <workbookView xWindow="-120" yWindow="-120" windowWidth="20730" windowHeight="11040" activeTab="3" xr2:uid="{B75FC628-F4BF-4F59-AE11-88D0E44CA9B1}"/>
  </bookViews>
  <sheets>
    <sheet name="Identificação_das_variaveis" sheetId="1" r:id="rId1"/>
    <sheet name="Graficos" sheetId="2" r:id="rId2"/>
    <sheet name="Entrega 2 analise de dados" sheetId="3" r:id="rId3"/>
    <sheet name="Grafico entrega 2" sheetId="4" r:id="rId4"/>
  </sheets>
  <definedNames>
    <definedName name="_xlchart.v1.0" hidden="1">Identificação_das_variaveis!$B$14:$B$23</definedName>
    <definedName name="_xlchart.v1.1" hidden="1">Identificação_das_variaveis!$B$14:$B$23</definedName>
    <definedName name="_xlchart.v1.2" hidden="1">'Entrega 2 analise de dados'!$B$2</definedName>
    <definedName name="_xlchart.v1.3" hidden="1">'Entrega 2 analise de dados'!$B$3:$B$12</definedName>
    <definedName name="_xlchart.v1.4" hidden="1">'Entrega 2 analise de dados'!$C$2</definedName>
    <definedName name="_xlchart.v1.5" hidden="1">'Entrega 2 analise de dados'!$C$3:$C$12</definedName>
    <definedName name="_xlchart.v1.6" hidden="1">'Entrega 2 analise de dados'!$D$2</definedName>
    <definedName name="_xlchart.v1.7" hidden="1">'Entrega 2 analise de dados'!$D$3:$D$12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3" l="1"/>
  <c r="D15" i="3"/>
  <c r="C14" i="3"/>
  <c r="B14" i="3"/>
  <c r="B15" i="3"/>
  <c r="D13" i="3"/>
  <c r="C13" i="3"/>
  <c r="B13" i="3"/>
  <c r="C15" i="3"/>
  <c r="D24" i="1" l="1"/>
  <c r="D25" i="1"/>
  <c r="C25" i="1"/>
  <c r="B25" i="1"/>
  <c r="C24" i="1"/>
  <c r="B24" i="1"/>
</calcChain>
</file>

<file path=xl/sharedStrings.xml><?xml version="1.0" encoding="utf-8"?>
<sst xmlns="http://schemas.openxmlformats.org/spreadsheetml/2006/main" count="63" uniqueCount="52">
  <si>
    <r>
      <rPr>
        <b/>
        <sz val="16"/>
        <color rgb="FF000000"/>
        <rFont val="Calibri"/>
        <family val="2"/>
      </rPr>
      <t>Variável Quantitativa:</t>
    </r>
    <r>
      <rPr>
        <sz val="11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>Variáveis quantitativas são aquelas representadas por números e que permitem realizar cálculos estatísticos, como média ou percentil. Elas podem ser discretas, quando representam contagens, ou contínuas, quando representam medidas.
Exemplo: idade do paciente, número de sessões e tempo da sessão.</t>
    </r>
  </si>
  <si>
    <t>Váriaveis do banco de dados da clínica</t>
  </si>
  <si>
    <t>Variável</t>
  </si>
  <si>
    <t>Tipo</t>
  </si>
  <si>
    <t>Subtipo</t>
  </si>
  <si>
    <t>Descrição</t>
  </si>
  <si>
    <t>Gênero do paciente</t>
  </si>
  <si>
    <t>Qualitativa</t>
  </si>
  <si>
    <t>Nominal</t>
  </si>
  <si>
    <r>
      <rPr>
        <b/>
        <sz val="11"/>
        <color rgb="FF000000"/>
        <rFont val="Aptos"/>
        <family val="2"/>
      </rPr>
      <t>Classifica</t>
    </r>
    <r>
      <rPr>
        <sz val="11"/>
        <color rgb="FF000000"/>
        <rFont val="Aptos"/>
        <family val="2"/>
      </rPr>
      <t xml:space="preserve"> o paciente por </t>
    </r>
    <r>
      <rPr>
        <b/>
        <sz val="11"/>
        <color rgb="FF000000"/>
        <rFont val="Aptos"/>
        <family val="2"/>
      </rPr>
      <t>categorias</t>
    </r>
    <r>
      <rPr>
        <sz val="11"/>
        <color rgb="FF000000"/>
        <rFont val="Aptos"/>
        <family val="2"/>
      </rPr>
      <t xml:space="preserve"> (Ex: masculino ou feminino).</t>
    </r>
  </si>
  <si>
    <t>Idade do paciente</t>
  </si>
  <si>
    <t>Quantitativa</t>
  </si>
  <si>
    <t>Contínua</t>
  </si>
  <si>
    <r>
      <t xml:space="preserve">Idade em </t>
    </r>
    <r>
      <rPr>
        <b/>
        <sz val="11"/>
        <color rgb="FF000000"/>
        <rFont val="Aptos"/>
        <family val="2"/>
      </rPr>
      <t>anos</t>
    </r>
    <r>
      <rPr>
        <sz val="11"/>
        <color rgb="FF000000"/>
        <rFont val="Aptos"/>
        <family val="2"/>
      </rPr>
      <t>.</t>
    </r>
  </si>
  <si>
    <t>Número de sessões realizadas</t>
  </si>
  <si>
    <t>Discreta</t>
  </si>
  <si>
    <r>
      <t xml:space="preserve">Quantidade </t>
    </r>
    <r>
      <rPr>
        <b/>
        <sz val="11"/>
        <color rgb="FF000000"/>
        <rFont val="Aptos"/>
        <family val="2"/>
      </rPr>
      <t>TOTAL</t>
    </r>
    <r>
      <rPr>
        <sz val="11"/>
        <color rgb="FF000000"/>
        <rFont val="Aptos"/>
        <family val="2"/>
      </rPr>
      <t xml:space="preserve"> de sessões feitas pelo paciente.</t>
    </r>
  </si>
  <si>
    <t>Tempo de sessões (minutos)</t>
  </si>
  <si>
    <r>
      <t xml:space="preserve">Duração </t>
    </r>
    <r>
      <rPr>
        <b/>
        <sz val="11"/>
        <color rgb="FF000000"/>
        <rFont val="Aptos"/>
        <family val="2"/>
      </rPr>
      <t>média</t>
    </r>
    <r>
      <rPr>
        <sz val="11"/>
        <color rgb="FF000000"/>
        <rFont val="Aptos"/>
        <family val="2"/>
      </rPr>
      <t xml:space="preserve"> da sessão de terapia ou fisioterapia.</t>
    </r>
  </si>
  <si>
    <t xml:space="preserve"> </t>
  </si>
  <si>
    <t>Nível de dor(0-10)</t>
  </si>
  <si>
    <t>Ordinal</t>
  </si>
  <si>
    <r>
      <rPr>
        <b/>
        <sz val="11"/>
        <color rgb="FF000000"/>
        <rFont val="Aptos"/>
        <family val="2"/>
      </rPr>
      <t>Escala</t>
    </r>
    <r>
      <rPr>
        <sz val="11"/>
        <color rgb="FF000000"/>
        <rFont val="Aptos"/>
        <family val="2"/>
      </rPr>
      <t xml:space="preserve"> de dor relatado pelo paciente.</t>
    </r>
  </si>
  <si>
    <r>
      <rPr>
        <b/>
        <sz val="16"/>
        <color rgb="FF000000"/>
        <rFont val="Calibri"/>
        <family val="2"/>
      </rPr>
      <t>Variável Qualitativa:</t>
    </r>
    <r>
      <rPr>
        <sz val="11"/>
        <color rgb="FF000000"/>
        <rFont val="Calibri"/>
        <family val="2"/>
      </rPr>
      <t xml:space="preserve">
Variáveis qualitativas representam características ou categorias, e não valores numéricos usados para cálculos.
Exemplo: gênero do paciente ou tipo de lesão.</t>
    </r>
  </si>
  <si>
    <t>Tipo de lesão</t>
  </si>
  <si>
    <r>
      <rPr>
        <b/>
        <sz val="11"/>
        <color rgb="FF000000"/>
        <rFont val="Aptos"/>
        <family val="2"/>
      </rPr>
      <t>Classifica</t>
    </r>
    <r>
      <rPr>
        <sz val="11"/>
        <color rgb="FF000000"/>
        <rFont val="Aptos"/>
        <family val="2"/>
      </rPr>
      <t xml:space="preserve"> o paciente por </t>
    </r>
    <r>
      <rPr>
        <b/>
        <sz val="11"/>
        <color rgb="FF000000"/>
        <rFont val="Aptos"/>
        <family val="2"/>
      </rPr>
      <t>lesões</t>
    </r>
    <r>
      <rPr>
        <sz val="11"/>
        <color rgb="FF000000"/>
        <rFont val="Aptos"/>
        <family val="2"/>
      </rPr>
      <t xml:space="preserve"> (Ex: Muscular, ortopédica, neurológica...).</t>
    </r>
  </si>
  <si>
    <t>Dados simulados e cálculos estatísticos</t>
  </si>
  <si>
    <r>
      <rPr>
        <b/>
        <sz val="16"/>
        <color rgb="FF000000"/>
        <rFont val="Calibri"/>
        <family val="2"/>
      </rPr>
      <t>Variável Quantitativa Discreta:</t>
    </r>
    <r>
      <rPr>
        <sz val="11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 xml:space="preserve">Uma variável quantitativa discreta representa valores inteiros obtidos por contagem, não podendo assumir valores fracionários.
Exemplo: número de sessões realizadas pelo paciente.
</t>
    </r>
    <r>
      <rPr>
        <sz val="11"/>
        <color rgb="FF000000"/>
        <rFont val="Calibri"/>
        <family val="2"/>
      </rPr>
      <t xml:space="preserve">
 </t>
    </r>
    <r>
      <rPr>
        <b/>
        <sz val="16"/>
        <color rgb="FF000000"/>
        <rFont val="Calibri"/>
        <family val="2"/>
      </rPr>
      <t>Variável Quantitativa Contínua:</t>
    </r>
    <r>
      <rPr>
        <sz val="11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>Uma variável quantitativa contínua representa valores obtidos por medição, podendo assumir números fracionários ou intervalos.
Exemplo: idade do paciente ou tempo da sessão em minutos.</t>
    </r>
  </si>
  <si>
    <t>Paciente</t>
  </si>
  <si>
    <t>Idade</t>
  </si>
  <si>
    <t>Sessões</t>
  </si>
  <si>
    <t>Tempo da Sessão (min)</t>
  </si>
  <si>
    <r>
      <rPr>
        <b/>
        <sz val="16"/>
        <color rgb="FF000000"/>
        <rFont val="Calibri"/>
        <family val="2"/>
      </rPr>
      <t>Qualitativa Nominal:</t>
    </r>
    <r>
      <rPr>
        <sz val="11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>Uma variável qualitativa nominal classifica os dados em categorias sem ordem específica.
Exemplo: gênero do paciente ou tipo de lesão.</t>
    </r>
    <r>
      <rPr>
        <sz val="11"/>
        <color rgb="FF000000"/>
        <rFont val="Calibri"/>
        <family val="2"/>
      </rPr>
      <t xml:space="preserve">
</t>
    </r>
    <r>
      <rPr>
        <b/>
        <sz val="16"/>
        <color rgb="FF000000"/>
        <rFont val="Calibri"/>
        <family val="2"/>
      </rPr>
      <t>Qualitativa Ordinal:</t>
    </r>
    <r>
      <rPr>
        <sz val="11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>Uma variável qualitativa ordinal representa categorias que possuem uma ordem ou escala de classificação.
Exemplo: nível de dor de 0 a 10 relatado pelo paciente.</t>
    </r>
  </si>
  <si>
    <t>Média</t>
  </si>
  <si>
    <t xml:space="preserve"> Metodo 95°Percentil</t>
  </si>
  <si>
    <r>
      <rPr>
        <b/>
        <sz val="16"/>
        <color rgb="FF000000"/>
        <rFont val="Calibri"/>
        <family val="2"/>
      </rPr>
      <t>Explicação do Percentil 95:</t>
    </r>
    <r>
      <rPr>
        <sz val="11"/>
        <color rgb="FF000000"/>
        <rFont val="Calibri"/>
        <family val="2"/>
      </rPr>
      <t xml:space="preserve">
</t>
    </r>
    <r>
      <rPr>
        <sz val="12"/>
        <color rgb="FF000000"/>
        <rFont val="Calibri"/>
        <family val="2"/>
      </rPr>
      <t>O percentil 95 representa o valor abaixo do qual 95% dos dados da amostra estão localizados, indicando um limite superior da distribuição dos dados.
No conjunto analisado da clínica, o percentil 95 mostra que aproximadamente 95% dos pacientes possuem até cerca de 97 anos de idade, até cerca de 15 sessões realizadas e sessões com duração de até aproximadamente 57 minutos, representando valores próximos ao limite superior das observações.</t>
    </r>
  </si>
  <si>
    <t>O grafico apresenta a distribuição das idades dos pacientes atendidos na clínica de fisioterapia, permitindo visualizar a concentração de pacientes em determinadas faixas etárias. (Ex: a maior faixa etária de pacientes que usam o aplicativo tem entre 73 a 98 anos.</t>
  </si>
  <si>
    <t>O gráfico de colunas mostra a duração das sessões de fisioterapia, permitindo visualizar as diferenças no tempo de atendimento entre os pacientes.(Ex: O paciente 7 possui o maior tempo de sessão com 60 minutos.)</t>
  </si>
  <si>
    <t>O gráfico de barras representa o número de sessões realizadas por cada paciente, facilitando a comparação entre os atendimentos realizados. (Ex:O paciente 8 teve a sessão mais longa, com 16 minutos.)</t>
  </si>
  <si>
    <t>Dados amostra dos pacientes (1ª Entrega)</t>
  </si>
  <si>
    <r>
      <t xml:space="preserve">O que é Média?                                                                                                 </t>
    </r>
    <r>
      <rPr>
        <sz val="12"/>
        <color rgb="FF000000"/>
        <rFont val="Calibri"/>
        <family val="2"/>
      </rPr>
      <t>A média é o valor central de um conjunto de dados, obtido pela soma de todos os valores dividida pela quantidade de elementos. Ela representa um valor “típico” dos dados.</t>
    </r>
  </si>
  <si>
    <r>
      <rPr>
        <b/>
        <sz val="12"/>
        <color rgb="FF000000"/>
        <rFont val="Calibri"/>
        <family val="2"/>
      </rPr>
      <t xml:space="preserve">O que é Desvio Padrão?   </t>
    </r>
    <r>
      <rPr>
        <sz val="11"/>
        <color rgb="FF000000"/>
        <rFont val="Calibri"/>
        <family val="2"/>
      </rPr>
      <t xml:space="preserve">                                                                          O desvio padrão mede o quanto os dados estão espalhados em relação à média. Quanto maior o desvio padrão, mais os valores variam; quanto menor, mais próximos estão da média.</t>
    </r>
  </si>
  <si>
    <r>
      <rPr>
        <b/>
        <sz val="12"/>
        <color rgb="FF000000"/>
        <rFont val="Calibri"/>
        <family val="2"/>
      </rPr>
      <t xml:space="preserve">O que é Coeficiente de Variação(CV)? </t>
    </r>
    <r>
      <rPr>
        <sz val="11"/>
        <color rgb="FF000000"/>
        <rFont val="Calibri"/>
        <family val="2"/>
      </rPr>
      <t xml:space="preserve">                                               O coeficiente de variação é uma medida que indica a dispersão dos dados em relação à média, expressa em porcentagem. Ele permite comparar a variabilidade entre diferentes conjuntos de dados.</t>
    </r>
  </si>
  <si>
    <t>Desvio Padrão</t>
  </si>
  <si>
    <t>Coeficiente de Variação</t>
  </si>
  <si>
    <r>
      <rPr>
        <b/>
        <sz val="12"/>
        <color rgb="FF000000"/>
        <rFont val="Calibri"/>
        <family val="2"/>
      </rPr>
      <t>Análise da Dispersão das Variáveis:</t>
    </r>
    <r>
      <rPr>
        <sz val="11"/>
        <color rgb="FF000000"/>
        <rFont val="Calibri"/>
        <family val="2"/>
      </rPr>
      <t xml:space="preserve">
A partir do coeficiente de variação (CV), é possível avaliar o nível de dispersão dos dados.
A variável </t>
    </r>
    <r>
      <rPr>
        <b/>
        <sz val="11"/>
        <color rgb="FF000000"/>
        <rFont val="Calibri"/>
        <family val="2"/>
      </rPr>
      <t>Idade</t>
    </r>
    <r>
      <rPr>
        <sz val="11"/>
        <color rgb="FF000000"/>
        <rFont val="Calibri"/>
        <family val="2"/>
      </rPr>
      <t xml:space="preserve"> apresentou um CV de </t>
    </r>
    <r>
      <rPr>
        <b/>
        <sz val="11"/>
        <color rgb="FF000000"/>
        <rFont val="Calibri"/>
        <family val="2"/>
      </rPr>
      <t>36,65%</t>
    </r>
    <r>
      <rPr>
        <sz val="11"/>
        <color rgb="FF000000"/>
        <rFont val="Calibri"/>
        <family val="2"/>
      </rPr>
      <t xml:space="preserve">, indicando </t>
    </r>
    <r>
      <rPr>
        <b/>
        <sz val="11"/>
        <color rgb="FF000000"/>
        <rFont val="Calibri"/>
        <family val="2"/>
      </rPr>
      <t>alta dispersão</t>
    </r>
    <r>
      <rPr>
        <sz val="11"/>
        <color rgb="FF000000"/>
        <rFont val="Calibri"/>
        <family val="2"/>
      </rPr>
      <t xml:space="preserve">, ou seja, os valores estão bastante </t>
    </r>
    <r>
      <rPr>
        <b/>
        <sz val="11"/>
        <color rgb="FF000000"/>
        <rFont val="Calibri"/>
        <family val="2"/>
      </rPr>
      <t>espalhados</t>
    </r>
    <r>
      <rPr>
        <sz val="11"/>
        <color rgb="FF000000"/>
        <rFont val="Calibri"/>
        <family val="2"/>
      </rPr>
      <t xml:space="preserve"> em relação à média.
A variável </t>
    </r>
    <r>
      <rPr>
        <b/>
        <sz val="11"/>
        <color rgb="FF000000"/>
        <rFont val="Calibri"/>
        <family val="2"/>
      </rPr>
      <t>Sessões</t>
    </r>
    <r>
      <rPr>
        <sz val="11"/>
        <color rgb="FF000000"/>
        <rFont val="Calibri"/>
        <family val="2"/>
      </rPr>
      <t xml:space="preserve"> apresentou um CV de </t>
    </r>
    <r>
      <rPr>
        <b/>
        <sz val="11"/>
        <color rgb="FF000000"/>
        <rFont val="Calibri"/>
        <family val="2"/>
      </rPr>
      <t>29,13%</t>
    </r>
    <r>
      <rPr>
        <sz val="11"/>
        <color rgb="FF000000"/>
        <rFont val="Calibri"/>
        <family val="2"/>
      </rPr>
      <t xml:space="preserve">, indicando </t>
    </r>
    <r>
      <rPr>
        <b/>
        <sz val="11"/>
        <color rgb="FF000000"/>
        <rFont val="Calibri"/>
        <family val="2"/>
      </rPr>
      <t>dispersão moderada</t>
    </r>
    <r>
      <rPr>
        <sz val="11"/>
        <color rgb="FF000000"/>
        <rFont val="Calibri"/>
        <family val="2"/>
      </rPr>
      <t xml:space="preserve">, com valores </t>
    </r>
    <r>
      <rPr>
        <b/>
        <sz val="11"/>
        <color rgb="FF000000"/>
        <rFont val="Calibri"/>
        <family val="2"/>
      </rPr>
      <t>relativamente próximos da média.</t>
    </r>
    <r>
      <rPr>
        <sz val="11"/>
        <color rgb="FF000000"/>
        <rFont val="Calibri"/>
        <family val="2"/>
      </rPr>
      <t xml:space="preserve">
Já a variável </t>
    </r>
    <r>
      <rPr>
        <b/>
        <sz val="11"/>
        <color rgb="FF000000"/>
        <rFont val="Calibri"/>
        <family val="2"/>
      </rPr>
      <t>Tempo</t>
    </r>
    <r>
      <rPr>
        <sz val="11"/>
        <color rgb="FF000000"/>
        <rFont val="Calibri"/>
        <family val="2"/>
      </rPr>
      <t xml:space="preserve"> de Sessão apresentou um CV de </t>
    </r>
    <r>
      <rPr>
        <b/>
        <sz val="11"/>
        <color rgb="FF000000"/>
        <rFont val="Calibri"/>
        <family val="2"/>
      </rPr>
      <t>37,10%</t>
    </r>
    <r>
      <rPr>
        <sz val="11"/>
        <color rgb="FF000000"/>
        <rFont val="Calibri"/>
        <family val="2"/>
      </rPr>
      <t xml:space="preserve">, indicando </t>
    </r>
    <r>
      <rPr>
        <b/>
        <sz val="11"/>
        <color rgb="FF000000"/>
        <rFont val="Calibri"/>
        <family val="2"/>
      </rPr>
      <t>alta dispersão</t>
    </r>
    <r>
      <rPr>
        <sz val="11"/>
        <color rgb="FF000000"/>
        <rFont val="Calibri"/>
        <family val="2"/>
      </rPr>
      <t xml:space="preserve">, mostrando </t>
    </r>
    <r>
      <rPr>
        <b/>
        <sz val="11"/>
        <color rgb="FF000000"/>
        <rFont val="Calibri"/>
        <family val="2"/>
      </rPr>
      <t>grande variação entre os valores.</t>
    </r>
  </si>
  <si>
    <r>
      <rPr>
        <b/>
        <sz val="12"/>
        <color rgb="FF000000"/>
        <rFont val="Calibri"/>
        <family val="2"/>
      </rPr>
      <t xml:space="preserve">Sugestões para Redução da Variabilidade:                                                                                                               </t>
    </r>
    <r>
      <rPr>
        <sz val="11"/>
        <color rgb="FF000000"/>
        <rFont val="Calibri"/>
        <family val="2"/>
      </rPr>
      <t xml:space="preserve">Para reduzir a variabilidade dos dados, algumas medidas podem ser adotadas:
</t>
    </r>
    <r>
      <rPr>
        <b/>
        <sz val="11"/>
        <color rgb="FF000000"/>
        <rFont val="Calibri"/>
        <family val="2"/>
      </rPr>
      <t>Padronização dos processos:</t>
    </r>
    <r>
      <rPr>
        <sz val="11"/>
        <color rgb="FF000000"/>
        <rFont val="Calibri"/>
        <family val="2"/>
      </rPr>
      <t xml:space="preserve"> definir um padrão para o tempo das sessões pode reduzir a variação entre atendimentos.
</t>
    </r>
    <r>
      <rPr>
        <b/>
        <sz val="11"/>
        <color rgb="FF000000"/>
        <rFont val="Calibri"/>
        <family val="2"/>
      </rPr>
      <t>Treinamento da equipe:</t>
    </r>
    <r>
      <rPr>
        <sz val="11"/>
        <color rgb="FF000000"/>
        <rFont val="Calibri"/>
        <family val="2"/>
      </rPr>
      <t xml:space="preserve"> profissionais mais alinhados tendem a gerar resultados mais uniformes.
</t>
    </r>
    <r>
      <rPr>
        <b/>
        <sz val="11"/>
        <color rgb="FF000000"/>
        <rFont val="Calibri"/>
        <family val="2"/>
      </rPr>
      <t>Controle de agendamentos:</t>
    </r>
    <r>
      <rPr>
        <sz val="11"/>
        <color rgb="FF000000"/>
        <rFont val="Calibri"/>
        <family val="2"/>
      </rPr>
      <t xml:space="preserve"> organizar melhor a quantidade de sessões por paciente pode diminuir variações.
</t>
    </r>
    <r>
      <rPr>
        <b/>
        <sz val="11"/>
        <color rgb="FF000000"/>
        <rFont val="Calibri"/>
        <family val="2"/>
      </rPr>
      <t>Segmentação dos pacientes</t>
    </r>
    <r>
      <rPr>
        <sz val="11"/>
        <color rgb="FF000000"/>
        <rFont val="Calibri"/>
        <family val="2"/>
      </rPr>
      <t>: separar pacientes por perfil (idade, necessidade, etc.) pode ajudar a entender e reduzir diferenças.</t>
    </r>
  </si>
  <si>
    <t>Idade:
Mín: 23
Q1: 49
Mediana: 69
Q3: 94
Máx: 98</t>
  </si>
  <si>
    <t>Sessões:
Mín: 6
Q1: 9
Mediana: 11
Q3: 14
Máx: 16</t>
  </si>
  <si>
    <t>Tempo de Sessão (min):
Mín: 19
Q1: 27
Mediana: 42
Q3: 54
Máx: 60</t>
  </si>
  <si>
    <r>
      <t xml:space="preserve">A análise realizada por meio do </t>
    </r>
    <r>
      <rPr>
        <b/>
        <sz val="11"/>
        <color rgb="FF000000"/>
        <rFont val="Calibri"/>
        <family val="2"/>
      </rPr>
      <t>Box Plot</t>
    </r>
    <r>
      <rPr>
        <sz val="11"/>
        <color rgb="FF000000"/>
        <rFont val="Calibri"/>
        <family val="2"/>
      </rPr>
      <t xml:space="preserve"> mostrou que </t>
    </r>
    <r>
      <rPr>
        <b/>
        <sz val="11"/>
        <color rgb="FF000000"/>
        <rFont val="Calibri"/>
        <family val="2"/>
      </rPr>
      <t>não há presença de outliers (valores fora do padrão)</t>
    </r>
    <r>
      <rPr>
        <sz val="11"/>
        <color rgb="FF000000"/>
        <rFont val="Calibri"/>
        <family val="2"/>
      </rPr>
      <t xml:space="preserve"> em nenhuma das </t>
    </r>
    <r>
      <rPr>
        <b/>
        <sz val="11"/>
        <color rgb="FF000000"/>
        <rFont val="Calibri"/>
        <family val="2"/>
      </rPr>
      <t>variáveis analisadas.</t>
    </r>
    <r>
      <rPr>
        <sz val="11"/>
        <color rgb="FF000000"/>
        <rFont val="Calibri"/>
        <family val="2"/>
      </rPr>
      <t xml:space="preserve"> Isso indica </t>
    </r>
    <r>
      <rPr>
        <b/>
        <sz val="11"/>
        <color rgb="FF000000"/>
        <rFont val="Calibri"/>
        <family val="2"/>
      </rPr>
      <t>que os dados dos dez pacientes são consistentes e confiáveis para o estudo, sem valores extremos que possam distorcer os resultados.</t>
    </r>
    <r>
      <rPr>
        <sz val="11"/>
        <color rgb="FF000000"/>
        <rFont val="Calibri"/>
        <family val="2"/>
      </rPr>
      <t xml:space="preserve">
Observando a dispersão dos dados,</t>
    </r>
    <r>
      <rPr>
        <b/>
        <sz val="11"/>
        <color rgb="FF000000"/>
        <rFont val="Calibri"/>
        <family val="2"/>
      </rPr>
      <t xml:space="preserve"> a variável Idade apresentou a maior variação (CV de 36,65%),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indicando grande diferença entre as idades dos pacientes.</t>
    </r>
    <r>
      <rPr>
        <sz val="11"/>
        <color rgb="FF000000"/>
        <rFont val="Calibri"/>
        <family val="2"/>
      </rPr>
      <t xml:space="preserve"> No entanto, </t>
    </r>
    <r>
      <rPr>
        <b/>
        <sz val="11"/>
        <color rgb="FF000000"/>
        <rFont val="Calibri"/>
        <family val="2"/>
      </rPr>
      <t>a média de idade é de 69 anos,</t>
    </r>
    <r>
      <rPr>
        <sz val="11"/>
        <color rgb="FF000000"/>
        <rFont val="Calibri"/>
        <family val="2"/>
      </rPr>
      <t xml:space="preserve"> o que </t>
    </r>
    <r>
      <rPr>
        <b/>
        <sz val="11"/>
        <color rgb="FF000000"/>
        <rFont val="Calibri"/>
        <family val="2"/>
      </rPr>
      <t>mostra que há uma maior concentração de pacientes mais velhos do que jovens na amostra analisada.</t>
    </r>
    <r>
      <rPr>
        <sz val="11"/>
        <color rgb="FF000000"/>
        <rFont val="Calibri"/>
        <family val="2"/>
      </rPr>
      <t xml:space="preserve">
Já a </t>
    </r>
    <r>
      <rPr>
        <b/>
        <sz val="11"/>
        <color rgb="FF000000"/>
        <rFont val="Calibri"/>
        <family val="2"/>
      </rPr>
      <t>variável Número de Sessões apresentou menor variação (CV de 29,13%), indicando maior equilíbrio entre os valores.</t>
    </r>
    <r>
      <rPr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A média é de 11 sessões, o que sugere que, de forma geral, os pacientes costumam realizar aproximadamente essa quantidade de sessões, sendo esse o padrão mais comum.</t>
    </r>
    <r>
      <rPr>
        <sz val="11"/>
        <color rgb="FF000000"/>
        <rFont val="Calibri"/>
        <family val="2"/>
      </rPr>
      <t xml:space="preserve">
</t>
    </r>
    <r>
      <rPr>
        <b/>
        <sz val="11"/>
        <color rgb="FF000000"/>
        <rFont val="Calibri"/>
        <family val="2"/>
      </rPr>
      <t>Em relação ao Tempo de Sessão, a média encontrada foi de 40 minutos, indicando que, em geral, cada paciente permanece cerca desse tempo</t>
    </r>
    <r>
      <rPr>
        <sz val="11"/>
        <color rgb="FF000000"/>
        <rFont val="Calibri"/>
        <family val="2"/>
      </rPr>
      <t xml:space="preserve">. Apesar de apresentar certa </t>
    </r>
    <r>
      <rPr>
        <b/>
        <sz val="11"/>
        <color rgb="FF000000"/>
        <rFont val="Calibri"/>
        <family val="2"/>
      </rPr>
      <t>variação (CV de 37,10%)</t>
    </r>
    <r>
      <rPr>
        <sz val="11"/>
        <color rgb="FF000000"/>
        <rFont val="Calibri"/>
        <family val="2"/>
      </rPr>
      <t xml:space="preserve">, os dados mostram um tempo relativamente </t>
    </r>
    <r>
      <rPr>
        <b/>
        <sz val="11"/>
        <color rgb="FF000000"/>
        <rFont val="Calibri"/>
        <family val="2"/>
      </rPr>
      <t>consistente entre os pacientes.</t>
    </r>
    <r>
      <rPr>
        <sz val="11"/>
        <color rgb="FF000000"/>
        <rFont val="Calibri"/>
        <family val="2"/>
      </rPr>
      <t xml:space="preserve">
Por fim, ao analisar a probabilidade, foi identificado que existe uma chance de 40% de um paciente realizar mais de 12 sessões, já que 4 dos 10 pacientes atingiram esse valor. Esse resultado indica um nível considerável de engajamento dos pacientes com o tratamento.
Dessa forma, conclui-se que há uma leve concentração dos dados em valores superiores, principalmente na variável idade.</t>
    </r>
  </si>
  <si>
    <r>
      <t xml:space="preserve">Além disso, a análise visual do Box Plot permite comparar diretamente a dispersão entre as variáveis. </t>
    </r>
    <r>
      <rPr>
        <b/>
        <sz val="11"/>
        <color rgb="FF000000"/>
        <rFont val="Calibri"/>
        <family val="2"/>
      </rPr>
      <t>A variável Idade apresenta a maior dispersão, evidenciada pelo maior tamanho da caixa e maior amplitude dos valores. Já o Número de Sessões apresenta a menor dispersão, com uma caixa mais compacta, indicando maior uniformidade nos dados. O Tempo de Sessão apresenta uma dispersão intermediária.</t>
    </r>
    <r>
      <rPr>
        <sz val="11"/>
        <color rgb="FF000000"/>
        <rFont val="Calibri"/>
        <family val="2"/>
      </rPr>
      <t xml:space="preserve">
Quanto à distribuição, </t>
    </r>
    <r>
      <rPr>
        <b/>
        <sz val="11"/>
        <color rgb="FF000000"/>
        <rFont val="Calibri"/>
        <family val="2"/>
      </rPr>
      <t>observa-se que a Idade possui maior concentração em valores mais altos, com a mediana posicionada mais próxima do topo da caixa. O Número de Sessões apresenta uma distribuição mais equilibrada, com dados relativamente simétricos. Já o Tempo de Sessão não apresenta forte concentração em extremos, indicando uma distribuição mais uniforme entre valores baixos e altos.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</si>
</sst>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D7D31"/>
        <bgColor rgb="FFED7D31"/>
      </patternFill>
    </fill>
    <fill>
      <patternFill patternType="solid">
        <fgColor rgb="FFF4B084"/>
        <bgColor rgb="FFF4B084"/>
      </patternFill>
    </fill>
    <fill>
      <patternFill patternType="solid">
        <fgColor rgb="FFFBE5CD"/>
        <bgColor rgb="FFFBE5CD"/>
      </patternFill>
    </fill>
    <fill>
      <patternFill patternType="solid">
        <fgColor rgb="FFFD8E49"/>
        <bgColor rgb="FFFD8E49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FC000"/>
        <bgColor indexed="64"/>
      </patternFill>
    </fill>
  </fills>
  <borders count="66">
    <border>
      <left/>
      <right/>
      <top/>
      <bottom/>
      <diagonal/>
    </border>
    <border>
      <left/>
      <right/>
      <top style="thin">
        <color rgb="FFE7E6E6"/>
      </top>
      <bottom style="thin">
        <color rgb="FFE7E6E6"/>
      </bottom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  <border>
      <left style="medium">
        <color rgb="FFBF8F00"/>
      </left>
      <right style="thin">
        <color rgb="FFBF8F00"/>
      </right>
      <top/>
      <bottom/>
      <diagonal/>
    </border>
    <border>
      <left style="thin">
        <color rgb="FFBF8F00"/>
      </left>
      <right style="thin">
        <color rgb="FFBF8F00"/>
      </right>
      <top/>
      <bottom/>
      <diagonal/>
    </border>
    <border>
      <left style="thin">
        <color rgb="FFBF8F00"/>
      </left>
      <right style="medium">
        <color rgb="FFBF8F00"/>
      </right>
      <top/>
      <bottom/>
      <diagonal/>
    </border>
    <border>
      <left style="medium">
        <color rgb="FFBF8F00"/>
      </left>
      <right style="thin">
        <color rgb="FFBF8F00"/>
      </right>
      <top style="medium">
        <color rgb="FFBF8F00"/>
      </top>
      <bottom style="medium">
        <color rgb="FFBF8F00"/>
      </bottom>
      <diagonal/>
    </border>
    <border>
      <left style="thin">
        <color rgb="FFBF8F00"/>
      </left>
      <right style="thin">
        <color rgb="FFBF8F00"/>
      </right>
      <top style="medium">
        <color rgb="FFBF8F00"/>
      </top>
      <bottom style="medium">
        <color rgb="FFBF8F00"/>
      </bottom>
      <diagonal/>
    </border>
    <border>
      <left style="thin">
        <color rgb="FFBF8F00"/>
      </left>
      <right style="medium">
        <color rgb="FFBF8F00"/>
      </right>
      <top style="medium">
        <color rgb="FFBF8F00"/>
      </top>
      <bottom style="medium">
        <color rgb="FFBF8F00"/>
      </bottom>
      <diagonal/>
    </border>
    <border>
      <left/>
      <right/>
      <top style="thin">
        <color rgb="FFE7E6E6"/>
      </top>
      <bottom/>
      <diagonal/>
    </border>
    <border>
      <left style="medium">
        <color rgb="FFC65911"/>
      </left>
      <right style="medium">
        <color rgb="FFC65911"/>
      </right>
      <top style="medium">
        <color rgb="FFC65911"/>
      </top>
      <bottom/>
      <diagonal/>
    </border>
    <border>
      <left style="medium">
        <color theme="5" tint="-0.249977111117893"/>
      </left>
      <right style="medium">
        <color theme="5" tint="-0.249977111117893"/>
      </right>
      <top style="medium">
        <color theme="5" tint="-0.249977111117893"/>
      </top>
      <bottom style="medium">
        <color theme="5" tint="-0.249977111117893"/>
      </bottom>
      <diagonal/>
    </border>
    <border>
      <left style="medium">
        <color theme="5" tint="-0.249977111117893"/>
      </left>
      <right/>
      <top style="medium">
        <color theme="5" tint="-0.249977111117893"/>
      </top>
      <bottom/>
      <diagonal/>
    </border>
    <border>
      <left/>
      <right style="medium">
        <color theme="5" tint="-0.249977111117893"/>
      </right>
      <top style="medium">
        <color theme="5" tint="-0.249977111117893"/>
      </top>
      <bottom/>
      <diagonal/>
    </border>
    <border>
      <left style="medium">
        <color theme="5" tint="-0.249977111117893"/>
      </left>
      <right/>
      <top/>
      <bottom style="medium">
        <color theme="5" tint="-0.249977111117893"/>
      </bottom>
      <diagonal/>
    </border>
    <border>
      <left/>
      <right style="medium">
        <color theme="5" tint="-0.249977111117893"/>
      </right>
      <top/>
      <bottom style="medium">
        <color theme="5" tint="-0.249977111117893"/>
      </bottom>
      <diagonal/>
    </border>
    <border>
      <left style="medium">
        <color theme="5" tint="-0.249977111117893"/>
      </left>
      <right style="medium">
        <color theme="5" tint="-0.249977111117893"/>
      </right>
      <top/>
      <bottom style="medium">
        <color theme="5" tint="-0.249977111117893"/>
      </bottom>
      <diagonal/>
    </border>
    <border>
      <left/>
      <right style="medium">
        <color theme="5" tint="-0.249977111117893"/>
      </right>
      <top style="medium">
        <color theme="5" tint="-0.249977111117893"/>
      </top>
      <bottom style="medium">
        <color theme="5" tint="-0.249977111117893"/>
      </bottom>
      <diagonal/>
    </border>
    <border>
      <left style="medium">
        <color theme="5" tint="-0.249977111117893"/>
      </left>
      <right/>
      <top style="medium">
        <color theme="5" tint="-0.249977111117893"/>
      </top>
      <bottom style="medium">
        <color theme="5" tint="-0.249977111117893"/>
      </bottom>
      <diagonal/>
    </border>
    <border>
      <left style="medium">
        <color theme="5" tint="-0.249977111117893"/>
      </left>
      <right style="medium">
        <color theme="5" tint="-0.249977111117893"/>
      </right>
      <top style="medium">
        <color theme="5" tint="-0.249977111117893"/>
      </top>
      <bottom/>
      <diagonal/>
    </border>
    <border>
      <left style="medium">
        <color rgb="FFC29902"/>
      </left>
      <right style="medium">
        <color rgb="FFC29902"/>
      </right>
      <top style="medium">
        <color rgb="FFC29902"/>
      </top>
      <bottom style="medium">
        <color rgb="FFC29902"/>
      </bottom>
      <diagonal/>
    </border>
    <border>
      <left style="thin">
        <color rgb="FFBF8F00"/>
      </left>
      <right style="thin">
        <color rgb="FFBF8F00"/>
      </right>
      <top/>
      <bottom style="thin">
        <color rgb="FFBF8F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rgb="FFC29902"/>
      </left>
      <right style="thin">
        <color rgb="FFC29902"/>
      </right>
      <top style="thin">
        <color rgb="FFC29902"/>
      </top>
      <bottom style="thin">
        <color rgb="FFC29902"/>
      </bottom>
      <diagonal/>
    </border>
    <border>
      <left style="thin">
        <color rgb="FFBF8F00"/>
      </left>
      <right/>
      <top style="thin">
        <color rgb="FFBF8F00"/>
      </top>
      <bottom style="thin">
        <color rgb="FFBF8F00"/>
      </bottom>
      <diagonal/>
    </border>
    <border>
      <left style="thin">
        <color rgb="FFBF8F00"/>
      </left>
      <right style="thin">
        <color rgb="FFBF8F00"/>
      </right>
      <top style="thin">
        <color rgb="FFBF8F0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thin">
        <color theme="2"/>
      </top>
      <bottom style="medium">
        <color rgb="FFC29902"/>
      </bottom>
      <diagonal/>
    </border>
    <border>
      <left style="medium">
        <color rgb="FFC29902"/>
      </left>
      <right style="thin">
        <color rgb="FFBF8F00"/>
      </right>
      <top/>
      <bottom style="thin">
        <color rgb="FFBF8F00"/>
      </bottom>
      <diagonal/>
    </border>
    <border>
      <left style="thin">
        <color rgb="FFBF8F00"/>
      </left>
      <right style="medium">
        <color rgb="FFC29902"/>
      </right>
      <top/>
      <bottom style="thin">
        <color rgb="FFBF8F00"/>
      </bottom>
      <diagonal/>
    </border>
    <border>
      <left style="medium">
        <color rgb="FFC29902"/>
      </left>
      <right style="thin">
        <color rgb="FFBF8F00"/>
      </right>
      <top style="thin">
        <color rgb="FFBF8F00"/>
      </top>
      <bottom style="thin">
        <color rgb="FFBF8F00"/>
      </bottom>
      <diagonal/>
    </border>
    <border>
      <left style="thin">
        <color rgb="FFBF8F00"/>
      </left>
      <right style="medium">
        <color rgb="FFC29902"/>
      </right>
      <top style="thin">
        <color rgb="FFBF8F00"/>
      </top>
      <bottom style="thin">
        <color rgb="FFBF8F00"/>
      </bottom>
      <diagonal/>
    </border>
    <border>
      <left style="thin">
        <color rgb="FFBF8F00"/>
      </left>
      <right style="medium">
        <color rgb="FFC29902"/>
      </right>
      <top style="thin">
        <color rgb="FFBF8F00"/>
      </top>
      <bottom/>
      <diagonal/>
    </border>
    <border>
      <left style="thin">
        <color rgb="FFC29902"/>
      </left>
      <right style="medium">
        <color rgb="FFC29902"/>
      </right>
      <top style="thin">
        <color rgb="FFC29902"/>
      </top>
      <bottom style="thin">
        <color rgb="FFC29902"/>
      </bottom>
      <diagonal/>
    </border>
    <border>
      <left style="medium">
        <color rgb="FFC29902"/>
      </left>
      <right/>
      <top style="medium">
        <color rgb="FFC29902"/>
      </top>
      <bottom style="medium">
        <color rgb="FFC29902"/>
      </bottom>
      <diagonal/>
    </border>
    <border>
      <left/>
      <right/>
      <top style="medium">
        <color rgb="FFC29902"/>
      </top>
      <bottom style="medium">
        <color rgb="FFC29902"/>
      </bottom>
      <diagonal/>
    </border>
    <border>
      <left/>
      <right style="medium">
        <color rgb="FFC29902"/>
      </right>
      <top style="medium">
        <color rgb="FFC29902"/>
      </top>
      <bottom style="medium">
        <color rgb="FFC29902"/>
      </bottom>
      <diagonal/>
    </border>
    <border>
      <left style="medium">
        <color rgb="FFC29902"/>
      </left>
      <right style="thin">
        <color rgb="FFBF8F00"/>
      </right>
      <top style="thin">
        <color rgb="FFBF8F00"/>
      </top>
      <bottom/>
      <diagonal/>
    </border>
    <border>
      <left style="thin">
        <color rgb="FFBF8F00"/>
      </left>
      <right style="medium">
        <color rgb="FFC29902"/>
      </right>
      <top/>
      <bottom/>
      <diagonal/>
    </border>
    <border>
      <left style="thin">
        <color rgb="FFC29902"/>
      </left>
      <right style="thin">
        <color rgb="FFC29902"/>
      </right>
      <top style="thin">
        <color rgb="FFC29902"/>
      </top>
      <bottom style="medium">
        <color rgb="FFC29902"/>
      </bottom>
      <diagonal/>
    </border>
    <border>
      <left style="thin">
        <color rgb="FFC29902"/>
      </left>
      <right style="medium">
        <color rgb="FFC29902"/>
      </right>
      <top style="thin">
        <color rgb="FFC29902"/>
      </top>
      <bottom style="medium">
        <color rgb="FFC29902"/>
      </bottom>
      <diagonal/>
    </border>
    <border>
      <left/>
      <right style="thin">
        <color rgb="FFC29902"/>
      </right>
      <top style="thin">
        <color rgb="FFC29902"/>
      </top>
      <bottom style="thin">
        <color rgb="FFC29902"/>
      </bottom>
      <diagonal/>
    </border>
    <border>
      <left/>
      <right style="thin">
        <color rgb="FFC29902"/>
      </right>
      <top style="thin">
        <color rgb="FFC29902"/>
      </top>
      <bottom style="medium">
        <color rgb="FFC29902"/>
      </bottom>
      <diagonal/>
    </border>
    <border>
      <left style="medium">
        <color rgb="FFC29902"/>
      </left>
      <right style="medium">
        <color rgb="FFC29902"/>
      </right>
      <top style="medium">
        <color rgb="FFC29902"/>
      </top>
      <bottom style="thin">
        <color rgb="FFC29902"/>
      </bottom>
      <diagonal/>
    </border>
    <border>
      <left style="medium">
        <color rgb="FFC29902"/>
      </left>
      <right style="medium">
        <color rgb="FFC29902"/>
      </right>
      <top style="thin">
        <color rgb="FFC29902"/>
      </top>
      <bottom style="thin">
        <color rgb="FFC29902"/>
      </bottom>
      <diagonal/>
    </border>
    <border>
      <left style="medium">
        <color rgb="FFC29902"/>
      </left>
      <right style="medium">
        <color rgb="FFC29902"/>
      </right>
      <top style="thin">
        <color rgb="FFC29902"/>
      </top>
      <bottom style="medium">
        <color rgb="FFC29902"/>
      </bottom>
      <diagonal/>
    </border>
    <border>
      <left/>
      <right style="thin">
        <color rgb="FFC29902"/>
      </right>
      <top style="medium">
        <color rgb="FFC29902"/>
      </top>
      <bottom style="thin">
        <color rgb="FFC29902"/>
      </bottom>
      <diagonal/>
    </border>
    <border>
      <left style="thin">
        <color rgb="FFC29902"/>
      </left>
      <right style="thin">
        <color rgb="FFC29902"/>
      </right>
      <top style="medium">
        <color rgb="FFC29902"/>
      </top>
      <bottom style="thin">
        <color rgb="FFC29902"/>
      </bottom>
      <diagonal/>
    </border>
    <border>
      <left style="thin">
        <color rgb="FFC29902"/>
      </left>
      <right style="medium">
        <color rgb="FFC29902"/>
      </right>
      <top style="medium">
        <color rgb="FFC29902"/>
      </top>
      <bottom style="thin">
        <color rgb="FFC29902"/>
      </bottom>
      <diagonal/>
    </border>
    <border>
      <left style="medium">
        <color rgb="FFC29902"/>
      </left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Font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0" fillId="0" borderId="1" xfId="0" applyBorder="1"/>
    <xf numFmtId="49" fontId="0" fillId="0" borderId="2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1" fontId="3" fillId="7" borderId="3" xfId="0" applyNumberFormat="1" applyFont="1" applyFill="1" applyBorder="1" applyAlignment="1">
      <alignment horizontal="center" vertical="center" wrapText="1"/>
    </xf>
    <xf numFmtId="1" fontId="0" fillId="7" borderId="4" xfId="0" applyNumberFormat="1" applyFill="1" applyBorder="1" applyAlignment="1">
      <alignment horizontal="center" vertical="center" wrapText="1"/>
    </xf>
    <xf numFmtId="2" fontId="0" fillId="7" borderId="4" xfId="0" applyNumberFormat="1" applyFill="1" applyBorder="1" applyAlignment="1">
      <alignment horizontal="center" vertical="center" wrapText="1"/>
    </xf>
    <xf numFmtId="2" fontId="0" fillId="7" borderId="5" xfId="0" applyNumberForma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/>
    </xf>
    <xf numFmtId="2" fontId="0" fillId="7" borderId="7" xfId="0" applyNumberFormat="1" applyFill="1" applyBorder="1" applyAlignment="1">
      <alignment horizontal="center" vertical="center"/>
    </xf>
    <xf numFmtId="2" fontId="0" fillId="7" borderId="7" xfId="0" applyNumberFormat="1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9" xfId="0" applyBorder="1"/>
    <xf numFmtId="0" fontId="2" fillId="5" borderId="15" xfId="1" applyFill="1" applyBorder="1" applyAlignment="1">
      <alignment horizontal="center" vertical="center"/>
    </xf>
    <xf numFmtId="0" fontId="2" fillId="5" borderId="16" xfId="1" applyFill="1" applyBorder="1" applyAlignment="1">
      <alignment horizontal="center" vertical="center"/>
    </xf>
    <xf numFmtId="0" fontId="2" fillId="5" borderId="14" xfId="1" applyFill="1" applyBorder="1" applyAlignment="1">
      <alignment horizontal="center" vertical="center"/>
    </xf>
    <xf numFmtId="0" fontId="4" fillId="3" borderId="17" xfId="2" applyFont="1" applyBorder="1" applyAlignment="1">
      <alignment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/>
    </xf>
    <xf numFmtId="0" fontId="4" fillId="3" borderId="13" xfId="2" applyFont="1" applyBorder="1" applyAlignment="1">
      <alignment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49" fontId="0" fillId="0" borderId="21" xfId="0" applyNumberFormat="1" applyBorder="1" applyAlignment="1">
      <alignment horizontal="center" vertical="center" wrapText="1"/>
    </xf>
    <xf numFmtId="1" fontId="0" fillId="0" borderId="21" xfId="0" applyNumberFormat="1" applyBorder="1" applyAlignment="1">
      <alignment horizontal="center" vertical="center" wrapText="1"/>
    </xf>
    <xf numFmtId="0" fontId="0" fillId="0" borderId="31" xfId="0" applyBorder="1"/>
    <xf numFmtId="0" fontId="0" fillId="0" borderId="30" xfId="0" applyBorder="1"/>
    <xf numFmtId="0" fontId="0" fillId="6" borderId="30" xfId="0" applyFill="1" applyBorder="1"/>
    <xf numFmtId="1" fontId="0" fillId="0" borderId="33" xfId="0" applyNumberFormat="1" applyBorder="1" applyAlignment="1">
      <alignment horizontal="center" vertical="center" wrapText="1"/>
    </xf>
    <xf numFmtId="1" fontId="0" fillId="0" borderId="34" xfId="0" applyNumberFormat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1" fontId="0" fillId="0" borderId="32" xfId="0" applyNumberForma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43" xfId="0" applyBorder="1"/>
    <xf numFmtId="0" fontId="0" fillId="6" borderId="31" xfId="0" applyFill="1" applyBorder="1"/>
    <xf numFmtId="49" fontId="0" fillId="0" borderId="44" xfId="0" applyNumberFormat="1" applyBorder="1" applyAlignment="1">
      <alignment horizontal="center" vertical="center" wrapText="1"/>
    </xf>
    <xf numFmtId="1" fontId="0" fillId="0" borderId="45" xfId="0" applyNumberFormat="1" applyBorder="1" applyAlignment="1">
      <alignment horizontal="center" vertical="center" wrapText="1"/>
    </xf>
    <xf numFmtId="49" fontId="0" fillId="0" borderId="46" xfId="0" applyNumberFormat="1" applyBorder="1" applyAlignment="1">
      <alignment horizontal="center" vertical="center" wrapText="1"/>
    </xf>
    <xf numFmtId="1" fontId="0" fillId="0" borderId="47" xfId="0" applyNumberFormat="1" applyBorder="1" applyAlignment="1">
      <alignment horizontal="center" vertical="center" wrapText="1"/>
    </xf>
    <xf numFmtId="1" fontId="0" fillId="0" borderId="48" xfId="0" applyNumberFormat="1" applyBorder="1" applyAlignment="1">
      <alignment horizontal="center" vertical="center" wrapText="1"/>
    </xf>
    <xf numFmtId="0" fontId="0" fillId="0" borderId="49" xfId="0" applyBorder="1" applyAlignment="1">
      <alignment horizontal="center"/>
    </xf>
    <xf numFmtId="1" fontId="0" fillId="0" borderId="49" xfId="0" applyNumberFormat="1" applyBorder="1" applyAlignment="1">
      <alignment horizontal="center" vertical="center" wrapText="1"/>
    </xf>
    <xf numFmtId="49" fontId="0" fillId="0" borderId="53" xfId="0" applyNumberFormat="1" applyBorder="1" applyAlignment="1">
      <alignment horizontal="center" vertical="center" wrapText="1"/>
    </xf>
    <xf numFmtId="1" fontId="0" fillId="0" borderId="54" xfId="0" applyNumberFormat="1" applyBorder="1" applyAlignment="1">
      <alignment horizontal="center" vertical="center" wrapText="1"/>
    </xf>
    <xf numFmtId="1" fontId="0" fillId="7" borderId="62" xfId="0" applyNumberFormat="1" applyFill="1" applyBorder="1" applyAlignment="1">
      <alignment horizontal="center" vertical="center" wrapText="1"/>
    </xf>
    <xf numFmtId="1" fontId="0" fillId="7" borderId="63" xfId="0" applyNumberFormat="1" applyFill="1" applyBorder="1" applyAlignment="1">
      <alignment horizontal="center" vertical="center" wrapText="1"/>
    </xf>
    <xf numFmtId="1" fontId="0" fillId="7" borderId="64" xfId="0" applyNumberFormat="1" applyFill="1" applyBorder="1" applyAlignment="1">
      <alignment horizontal="center" vertical="center" wrapText="1"/>
    </xf>
    <xf numFmtId="2" fontId="0" fillId="8" borderId="57" xfId="0" applyNumberFormat="1" applyFill="1" applyBorder="1" applyAlignment="1">
      <alignment horizontal="center"/>
    </xf>
    <xf numFmtId="2" fontId="0" fillId="8" borderId="32" xfId="0" applyNumberFormat="1" applyFill="1" applyBorder="1" applyAlignment="1">
      <alignment horizontal="center"/>
    </xf>
    <xf numFmtId="2" fontId="0" fillId="8" borderId="49" xfId="0" applyNumberFormat="1" applyFill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0" fillId="0" borderId="65" xfId="0" applyBorder="1"/>
    <xf numFmtId="10" fontId="0" fillId="8" borderId="58" xfId="3" applyNumberFormat="1" applyFont="1" applyFill="1" applyBorder="1" applyAlignment="1">
      <alignment horizontal="center"/>
    </xf>
    <xf numFmtId="10" fontId="0" fillId="8" borderId="55" xfId="3" applyNumberFormat="1" applyFont="1" applyFill="1" applyBorder="1" applyAlignment="1">
      <alignment horizontal="center"/>
    </xf>
    <xf numFmtId="10" fontId="0" fillId="8" borderId="56" xfId="3" applyNumberFormat="1" applyFont="1" applyFill="1" applyBorder="1" applyAlignment="1">
      <alignment horizontal="center"/>
    </xf>
    <xf numFmtId="0" fontId="3" fillId="8" borderId="59" xfId="0" applyFont="1" applyFill="1" applyBorder="1" applyAlignment="1">
      <alignment horizontal="center" vertical="center"/>
    </xf>
    <xf numFmtId="0" fontId="3" fillId="8" borderId="60" xfId="0" applyFont="1" applyFill="1" applyBorder="1" applyAlignment="1">
      <alignment horizontal="center" vertical="center"/>
    </xf>
    <xf numFmtId="0" fontId="3" fillId="8" borderId="6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5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42" xfId="0" applyBorder="1" applyAlignment="1">
      <alignment horizontal="center" wrapText="1"/>
    </xf>
    <xf numFmtId="49" fontId="3" fillId="4" borderId="10" xfId="0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35" xfId="0" applyBorder="1" applyAlignment="1">
      <alignment horizontal="left" wrapText="1"/>
    </xf>
    <xf numFmtId="0" fontId="0" fillId="0" borderId="36" xfId="0" applyBorder="1" applyAlignment="1">
      <alignment horizontal="left" wrapText="1"/>
    </xf>
    <xf numFmtId="0" fontId="0" fillId="0" borderId="37" xfId="0" applyBorder="1" applyAlignment="1">
      <alignment horizontal="left" wrapText="1"/>
    </xf>
    <xf numFmtId="0" fontId="0" fillId="0" borderId="38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39" xfId="0" applyBorder="1" applyAlignment="1">
      <alignment horizontal="left" wrapText="1"/>
    </xf>
    <xf numFmtId="0" fontId="0" fillId="0" borderId="40" xfId="0" applyBorder="1" applyAlignment="1">
      <alignment horizontal="left" wrapText="1"/>
    </xf>
    <xf numFmtId="0" fontId="0" fillId="0" borderId="41" xfId="0" applyBorder="1" applyAlignment="1">
      <alignment horizontal="left" wrapText="1"/>
    </xf>
    <xf numFmtId="0" fontId="0" fillId="0" borderId="42" xfId="0" applyBorder="1" applyAlignment="1">
      <alignment horizontal="left" wrapText="1"/>
    </xf>
    <xf numFmtId="0" fontId="3" fillId="0" borderId="50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8" fillId="0" borderId="35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22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23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0" xfId="0" applyBorder="1" applyAlignment="1">
      <alignment vertical="top" wrapText="1"/>
    </xf>
  </cellXfs>
  <cellStyles count="4">
    <cellStyle name="60% - Ênfase2" xfId="2" builtinId="36" customBuiltin="1"/>
    <cellStyle name="Ênfase2" xfId="1" builtinId="33" customBuiltin="1"/>
    <cellStyle name="Normal" xfId="0" builtinId="0" customBuiltin="1"/>
    <cellStyle name="Porcentagem" xfId="3" builtinId="5"/>
  </cellStyles>
  <dxfs count="12">
    <dxf>
      <border>
        <bottom style="medium">
          <color rgb="FFC29902"/>
        </bottom>
      </border>
    </dxf>
    <dxf>
      <border diagonalUp="0" diagonalDown="0">
        <left style="medium">
          <color rgb="FFC29902"/>
        </left>
        <right style="medium">
          <color rgb="FFC29902"/>
        </right>
        <top/>
        <bottom/>
        <vertical style="medium">
          <color rgb="FFC29902"/>
        </vertical>
        <horizontal style="medium">
          <color rgb="FFC29902"/>
        </horizontal>
      </border>
    </dxf>
    <dxf>
      <border>
        <bottom style="medium">
          <color rgb="FFC29902"/>
        </bottom>
      </border>
    </dxf>
    <dxf>
      <border diagonalUp="0" diagonalDown="0">
        <left style="medium">
          <color rgb="FFC29902"/>
        </left>
        <right style="medium">
          <color rgb="FFC29902"/>
        </right>
        <top/>
        <bottom/>
        <vertical style="medium">
          <color rgb="FFC29902"/>
        </vertical>
        <horizontal style="medium">
          <color rgb="FFC29902"/>
        </horizontal>
      </border>
    </dxf>
    <dxf>
      <border diagonalUp="0" diagonalDown="0">
        <left style="medium">
          <color theme="5" tint="-0.249977111117893"/>
        </left>
        <right/>
        <top style="medium">
          <color theme="5" tint="-0.249977111117893"/>
        </top>
        <bottom style="medium">
          <color theme="5" tint="-0.249977111117893"/>
        </bottom>
        <vertical style="medium">
          <color theme="5" tint="-0.249977111117893"/>
        </vertical>
        <horizontal style="medium">
          <color theme="5" tint="-0.249977111117893"/>
        </horizontal>
      </border>
    </dxf>
    <dxf>
      <border diagonalUp="0" diagonalDown="0">
        <left style="medium">
          <color theme="5" tint="-0.249977111117893"/>
        </left>
        <right style="medium">
          <color theme="5" tint="-0.249977111117893"/>
        </right>
        <top style="medium">
          <color theme="5" tint="-0.249977111117893"/>
        </top>
        <bottom style="medium">
          <color theme="5" tint="-0.249977111117893"/>
        </bottom>
        <vertical style="medium">
          <color theme="5" tint="-0.249977111117893"/>
        </vertical>
        <horizontal style="medium">
          <color theme="5" tint="-0.249977111117893"/>
        </horizontal>
      </border>
    </dxf>
    <dxf>
      <border diagonalUp="0" diagonalDown="0">
        <left style="medium">
          <color theme="5" tint="-0.249977111117893"/>
        </left>
        <right style="medium">
          <color theme="5" tint="-0.249977111117893"/>
        </right>
        <top style="medium">
          <color theme="5" tint="-0.249977111117893"/>
        </top>
        <bottom style="medium">
          <color theme="5" tint="-0.249977111117893"/>
        </bottom>
        <vertical style="medium">
          <color theme="5" tint="-0.249977111117893"/>
        </vertical>
        <horizontal style="medium">
          <color theme="5" tint="-0.249977111117893"/>
        </horizontal>
      </border>
    </dxf>
    <dxf>
      <border diagonalUp="0" diagonalDown="0">
        <left/>
        <right style="medium">
          <color theme="5" tint="-0.249977111117893"/>
        </right>
        <top style="medium">
          <color theme="5" tint="-0.249977111117893"/>
        </top>
        <bottom style="medium">
          <color theme="5" tint="-0.249977111117893"/>
        </bottom>
        <vertical style="medium">
          <color theme="5" tint="-0.249977111117893"/>
        </vertical>
        <horizontal style="medium">
          <color theme="5" tint="-0.249977111117893"/>
        </horizontal>
      </border>
    </dxf>
    <dxf>
      <border>
        <top style="medium">
          <color theme="5" tint="-0.249977111117893"/>
        </top>
      </border>
    </dxf>
    <dxf>
      <border diagonalUp="0" diagonalDown="0">
        <left style="medium">
          <color theme="5" tint="-0.249977111117893"/>
        </left>
        <right style="medium">
          <color theme="5" tint="-0.249977111117893"/>
        </right>
        <top style="medium">
          <color theme="5" tint="-0.249977111117893"/>
        </top>
        <bottom style="medium">
          <color theme="5" tint="-0.249977111117893"/>
        </bottom>
      </border>
    </dxf>
    <dxf>
      <border>
        <bottom style="medium">
          <color theme="5" tint="-0.249977111117893"/>
        </bottom>
      </border>
    </dxf>
    <dxf>
      <border diagonalUp="0" diagonalDown="0">
        <left style="medium">
          <color theme="5" tint="-0.249977111117893"/>
        </left>
        <right style="medium">
          <color theme="5" tint="-0.249977111117893"/>
        </right>
        <top/>
        <bottom/>
        <vertical style="medium">
          <color theme="5" tint="-0.249977111117893"/>
        </vertical>
        <horizontal style="medium">
          <color theme="5" tint="-0.249977111117893"/>
        </horizontal>
      </border>
    </dxf>
  </dxfs>
  <tableStyles count="0" defaultTableStyle="TableStyleMedium2" defaultPivotStyle="PivotStyleLight16"/>
  <colors>
    <mruColors>
      <color rgb="FFC299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lang="pt-BR" sz="1400" b="0" i="0" u="none" strike="noStrike" kern="1200" spc="0" baseline="0">
                <a:solidFill>
                  <a:srgbClr val="595959"/>
                </a:solidFill>
                <a:latin typeface="Aptos Narrow"/>
              </a:defRPr>
            </a:pPr>
            <a:r>
              <a:rPr lang="pt-BR" sz="1400" b="0" i="0" u="none" strike="noStrike" kern="1200" cap="none" spc="0" baseline="0">
                <a:solidFill>
                  <a:srgbClr val="595959"/>
                </a:solidFill>
                <a:uFillTx/>
                <a:latin typeface="Aptos Narrow"/>
              </a:rPr>
              <a:t>Gráfico para quantidade sessões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Identificação_das_variaveis!$C$13:$C$13</c:f>
              <c:strCache>
                <c:ptCount val="1"/>
                <c:pt idx="0">
                  <c:v>Sessões</c:v>
                </c:pt>
              </c:strCache>
            </c:strRef>
          </c:tx>
          <c:spPr>
            <a:solidFill>
              <a:srgbClr val="E97132"/>
            </a:solidFill>
            <a:ln>
              <a:noFill/>
            </a:ln>
          </c:spPr>
          <c:invertIfNegative val="0"/>
          <c:val>
            <c:numRef>
              <c:f>Identificação_das_variaveis!$C$14:$C$23</c:f>
              <c:numCache>
                <c:formatCode>0</c:formatCode>
                <c:ptCount val="10"/>
                <c:pt idx="0">
                  <c:v>8</c:v>
                </c:pt>
                <c:pt idx="1">
                  <c:v>12</c:v>
                </c:pt>
                <c:pt idx="2">
                  <c:v>10</c:v>
                </c:pt>
                <c:pt idx="3">
                  <c:v>6</c:v>
                </c:pt>
                <c:pt idx="4">
                  <c:v>15</c:v>
                </c:pt>
                <c:pt idx="5">
                  <c:v>14</c:v>
                </c:pt>
                <c:pt idx="6">
                  <c:v>9</c:v>
                </c:pt>
                <c:pt idx="7">
                  <c:v>16</c:v>
                </c:pt>
                <c:pt idx="8">
                  <c:v>11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7F-4001-B98D-201979C3F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3179167"/>
        <c:axId val="2013178687"/>
      </c:barChart>
      <c:valAx>
        <c:axId val="2013178687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lang="pt-BR" sz="900" b="0" i="0" u="none" strike="noStrike" kern="1200" baseline="0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2013179167"/>
        <c:crosses val="autoZero"/>
        <c:crossBetween val="between"/>
      </c:valAx>
      <c:catAx>
        <c:axId val="2013179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lang="pt-BR" sz="900" b="0" i="0" u="none" strike="noStrike" kern="1200" baseline="0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2013178687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lang="pt-BR" sz="900" b="0" i="0" u="none" strike="noStrike" kern="1200" baseline="0">
              <a:solidFill>
                <a:srgbClr val="595959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pt-BR" sz="1000" b="0" i="0" u="none" strike="noStrike" kern="1200" baseline="0">
          <a:solidFill>
            <a:srgbClr val="000000"/>
          </a:solidFill>
          <a:latin typeface="Aptos Narrow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lang="pt-BR" sz="1400" b="0" i="0" u="none" strike="noStrike" kern="1200" spc="0" baseline="0">
                <a:solidFill>
                  <a:srgbClr val="595959"/>
                </a:solidFill>
                <a:latin typeface="Aptos Narrow"/>
              </a:defRPr>
            </a:pPr>
            <a:r>
              <a:rPr lang="pt-BR" sz="1400" b="0" i="0" u="none" strike="noStrike" kern="1200" cap="none" spc="0" baseline="0">
                <a:solidFill>
                  <a:srgbClr val="595959"/>
                </a:solidFill>
                <a:uFillTx/>
                <a:latin typeface="Aptos Narrow"/>
              </a:rPr>
              <a:t>Tempo da Sessão (min)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Identificação_das_variaveis!$D$13:$D$13</c:f>
              <c:strCache>
                <c:ptCount val="1"/>
                <c:pt idx="0">
                  <c:v>Tempo da Sessão (min)</c:v>
                </c:pt>
              </c:strCache>
            </c:strRef>
          </c:tx>
          <c:spPr>
            <a:solidFill>
              <a:srgbClr val="E97132"/>
            </a:solidFill>
            <a:ln>
              <a:noFill/>
            </a:ln>
          </c:spPr>
          <c:invertIfNegative val="0"/>
          <c:val>
            <c:numRef>
              <c:f>Identificação_das_variaveis!$D$14:$D$23</c:f>
              <c:numCache>
                <c:formatCode>0</c:formatCode>
                <c:ptCount val="10"/>
                <c:pt idx="0">
                  <c:v>42</c:v>
                </c:pt>
                <c:pt idx="1">
                  <c:v>22</c:v>
                </c:pt>
                <c:pt idx="2">
                  <c:v>19</c:v>
                </c:pt>
                <c:pt idx="3">
                  <c:v>54</c:v>
                </c:pt>
                <c:pt idx="4">
                  <c:v>27</c:v>
                </c:pt>
                <c:pt idx="5">
                  <c:v>30</c:v>
                </c:pt>
                <c:pt idx="6">
                  <c:v>60</c:v>
                </c:pt>
                <c:pt idx="7" formatCode="General">
                  <c:v>45</c:v>
                </c:pt>
                <c:pt idx="8">
                  <c:v>50</c:v>
                </c:pt>
                <c:pt idx="9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9-422A-982D-4F30000C7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3185887"/>
        <c:axId val="2013179647"/>
      </c:barChart>
      <c:valAx>
        <c:axId val="2013179647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lang="pt-BR" sz="900" b="0" i="0" u="none" strike="noStrike" kern="1200" baseline="0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2013185887"/>
        <c:crosses val="autoZero"/>
        <c:crossBetween val="between"/>
      </c:valAx>
      <c:catAx>
        <c:axId val="201318588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lang="pt-BR" sz="900" b="0" i="0" u="none" strike="noStrike" kern="1200" baseline="0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2013179647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lang="pt-BR" sz="900" b="0" i="0" u="none" strike="noStrike" kern="1200" baseline="0">
              <a:solidFill>
                <a:srgbClr val="595959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pt-BR" sz="1000" b="0" i="0" u="none" strike="noStrike" kern="1200" baseline="0">
          <a:solidFill>
            <a:srgbClr val="000000"/>
          </a:solidFill>
          <a:latin typeface="Aptos Narrow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Grafico para idade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Grafico para idade</a:t>
          </a:r>
        </a:p>
      </cx:txPr>
    </cx:title>
    <cx:plotArea>
      <cx:plotAreaRegion>
        <cx:series layoutId="clusteredColumn" uniqueId="{52879ADC-A6E0-4189-9F88-495E1C6671F8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pt-BR"/>
              <a:t>Gráfico para Idade</a:t>
            </a: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B2E561AA-F7EA-476F-9DF3-1F3677346AF7}">
          <cx:dataId val="0"/>
          <cx:layoutPr>
            <cx:binning intervalClosed="r" underflow="auto" overflow="auto">
              <cx:binCount val="3"/>
            </cx:binning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  <cx:data id="1">
      <cx:numDim type="val">
        <cx:f>_xlchart.v1.5</cx:f>
      </cx:numDim>
    </cx:data>
    <cx:data id="2">
      <cx:numDim type="val">
        <cx:f>_xlchart.v1.7</cx:f>
      </cx:numDim>
    </cx:data>
  </cx:chartData>
  <cx:chart>
    <cx:title pos="t" align="ctr" overlay="0">
      <cx:tx>
        <cx:txData>
          <cx:v>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Box Plot</a:t>
          </a:r>
        </a:p>
      </cx:txPr>
    </cx:title>
    <cx:plotArea>
      <cx:plotAreaRegion>
        <cx:series layoutId="boxWhisker" uniqueId="{CBF5CCF1-547C-4F28-9791-0DF9ACB029C0}">
          <cx:tx>
            <cx:txData>
              <cx:f>_xlchart.v1.2</cx:f>
              <cx:v>Idade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F9B3E71-D461-4C09-9A32-0E229F6DD115}">
          <cx:tx>
            <cx:txData>
              <cx:f>_xlchart.v1.4</cx:f>
              <cx:v>Sessões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F60B6403-CFFF-4036-97CA-B9F6E38C2444}">
          <cx:tx>
            <cx:txData>
              <cx:f>_xlchart.v1.6</cx:f>
              <cx:v>Tempo da Sessão (min)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2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</xdr:colOff>
      <xdr:row>18</xdr:row>
      <xdr:rowOff>175191</xdr:rowOff>
    </xdr:from>
    <xdr:ext cx="4263776" cy="2197169"/>
    <xdr:graphicFrame macro="">
      <xdr:nvGraphicFramePr>
        <xdr:cNvPr id="3" name="Gráfico 7">
          <a:extLst>
            <a:ext uri="{FF2B5EF4-FFF2-40B4-BE49-F238E27FC236}">
              <a16:creationId xmlns:a16="http://schemas.microsoft.com/office/drawing/2014/main" id="{05685669-566E-45F7-1AD5-95A80613D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608865</xdr:colOff>
      <xdr:row>0</xdr:row>
      <xdr:rowOff>0</xdr:rowOff>
    </xdr:from>
    <xdr:ext cx="4267935" cy="2560320"/>
    <xdr:graphicFrame macro="">
      <xdr:nvGraphicFramePr>
        <xdr:cNvPr id="2" name="Gráfico 9">
          <a:extLst>
            <a:ext uri="{FF2B5EF4-FFF2-40B4-BE49-F238E27FC236}">
              <a16:creationId xmlns:a16="http://schemas.microsoft.com/office/drawing/2014/main" id="{FDC03FB4-A267-32CE-3083-8CD1DE814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0</xdr:col>
      <xdr:colOff>0</xdr:colOff>
      <xdr:row>0</xdr:row>
      <xdr:rowOff>0</xdr:rowOff>
    </xdr:from>
    <xdr:to>
      <xdr:col>7</xdr:col>
      <xdr:colOff>0</xdr:colOff>
      <xdr:row>13</xdr:row>
      <xdr:rowOff>178836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C146D492-F202-4BB9-AE84-5971B51D31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248150" cy="26553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0</xdr:col>
      <xdr:colOff>1</xdr:colOff>
      <xdr:row>0</xdr:row>
      <xdr:rowOff>1</xdr:rowOff>
    </xdr:from>
    <xdr:to>
      <xdr:col>6</xdr:col>
      <xdr:colOff>601981</xdr:colOff>
      <xdr:row>14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16C50541-64C7-4F12-83C7-5B101B2C6F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1"/>
              <a:ext cx="4240530" cy="26765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590550</xdr:colOff>
      <xdr:row>14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B8BBA84A-F416-4F55-AB07-A9F592AE00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248150" cy="28327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1994D7-7526-446A-8D4C-24F8796A9EC0}" name="Tabela3" displayName="Tabela3" ref="A3:D9" totalsRowShown="0" headerRowDxfId="11" headerRowBorderDxfId="10" tableBorderDxfId="9" totalsRowBorderDxfId="8">
  <autoFilter ref="A3:D9" xr:uid="{E4DC4F79-9552-4468-A05A-FFF9B2680384}"/>
  <tableColumns count="4">
    <tableColumn id="1" xr3:uid="{37EEC5A9-DB34-4DA2-9A1A-970293EB6FD7}" name="Variável" dataDxfId="7"/>
    <tableColumn id="2" xr3:uid="{89A97332-4EE9-49A1-952F-982622C99B2F}" name="Tipo" dataDxfId="6"/>
    <tableColumn id="3" xr3:uid="{B1F2CB33-A619-40D6-8475-39DB750AFBD3}" name="Subtipo" dataDxfId="5"/>
    <tableColumn id="4" xr3:uid="{E6DF7C0A-C7FC-4097-8C48-68621A0B52D1}" name="Descrição" dataDxfId="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07430F-E9BE-410C-8599-A41AF7ECC96F}" name="Tabela4" displayName="Tabela4" ref="A13:D23" totalsRowShown="0" headerRowDxfId="3" headerRowBorderDxfId="2">
  <autoFilter ref="A13:D23" xr:uid="{F89D9FC6-F202-48B4-B0AA-3B64C8F0802A}"/>
  <tableColumns count="4">
    <tableColumn id="1" xr3:uid="{7467A187-824A-4991-AE26-3FBCA289AF78}" name="Paciente"/>
    <tableColumn id="2" xr3:uid="{5C1A5A50-44D4-40B4-846D-FEAEBE5C166A}" name="Idade"/>
    <tableColumn id="3" xr3:uid="{2588D967-7083-4E05-9FBB-6DB0C18CB032}" name="Sessões"/>
    <tableColumn id="4" xr3:uid="{F33B21B0-6392-4ED9-B6EF-24EB00C11751}" name="Tempo da Sessão (min)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098AD4-3B84-41AC-BD81-06D8CF865580}" name="Tabela44" displayName="Tabela44" ref="A2:D12" totalsRowShown="0" headerRowDxfId="1" headerRowBorderDxfId="0">
  <autoFilter ref="A2:D12" xr:uid="{62098AD4-3B84-41AC-BD81-06D8CF865580}"/>
  <tableColumns count="4">
    <tableColumn id="1" xr3:uid="{6430F98D-FDFA-4986-9E55-51F4B8EC61DE}" name="Paciente"/>
    <tableColumn id="2" xr3:uid="{99B9DE1C-9CE0-4399-8A3D-9B42ED68B191}" name="Idade"/>
    <tableColumn id="3" xr3:uid="{ED05A400-FC0A-4666-BB04-8A4E7C3E0633}" name="Sessões"/>
    <tableColumn id="4" xr3:uid="{C02FC5BD-0B02-448B-9869-8C8F74934E16}" name="Tempo da Sessão (min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573C1-C17D-4A0A-AED1-D4900F35E452}">
  <dimension ref="A1:N43"/>
  <sheetViews>
    <sheetView topLeftCell="A4" zoomScale="69" zoomScaleNormal="69" workbookViewId="0">
      <selection activeCell="D24" sqref="B24:D24"/>
    </sheetView>
  </sheetViews>
  <sheetFormatPr defaultRowHeight="15" x14ac:dyDescent="0.25"/>
  <cols>
    <col min="1" max="1" width="29" bestFit="1" customWidth="1"/>
    <col min="2" max="2" width="16" bestFit="1" customWidth="1"/>
    <col min="3" max="3" width="19.7109375" bestFit="1" customWidth="1"/>
    <col min="4" max="4" width="59.5703125" customWidth="1"/>
    <col min="5" max="5" width="13" bestFit="1" customWidth="1"/>
    <col min="6" max="6" width="8.85546875" customWidth="1"/>
  </cols>
  <sheetData>
    <row r="1" spans="1:14" ht="15" customHeight="1" thickBot="1" x14ac:dyDescent="0.3">
      <c r="F1" s="71" t="s">
        <v>0</v>
      </c>
      <c r="G1" s="72"/>
      <c r="H1" s="72"/>
      <c r="I1" s="72"/>
      <c r="J1" s="72"/>
      <c r="K1" s="72"/>
      <c r="L1" s="72"/>
      <c r="M1" s="72"/>
      <c r="N1" s="73"/>
    </row>
    <row r="2" spans="1:14" x14ac:dyDescent="0.25">
      <c r="A2" s="80" t="s">
        <v>1</v>
      </c>
      <c r="B2" s="80"/>
      <c r="C2" s="80"/>
      <c r="D2" s="80"/>
      <c r="F2" s="74"/>
      <c r="G2" s="75"/>
      <c r="H2" s="75"/>
      <c r="I2" s="75"/>
      <c r="J2" s="75"/>
      <c r="K2" s="75"/>
      <c r="L2" s="75"/>
      <c r="M2" s="75"/>
      <c r="N2" s="76"/>
    </row>
    <row r="3" spans="1:14" ht="15.75" thickBot="1" x14ac:dyDescent="0.3">
      <c r="A3" s="15" t="s">
        <v>2</v>
      </c>
      <c r="B3" s="16" t="s">
        <v>3</v>
      </c>
      <c r="C3" s="16" t="s">
        <v>4</v>
      </c>
      <c r="D3" s="17" t="s">
        <v>5</v>
      </c>
      <c r="F3" s="74"/>
      <c r="G3" s="75"/>
      <c r="H3" s="75"/>
      <c r="I3" s="75"/>
      <c r="J3" s="75"/>
      <c r="K3" s="75"/>
      <c r="L3" s="75"/>
      <c r="M3" s="75"/>
      <c r="N3" s="76"/>
    </row>
    <row r="4" spans="1:14" ht="36" customHeight="1" thickBot="1" x14ac:dyDescent="0.3">
      <c r="A4" s="18" t="s">
        <v>6</v>
      </c>
      <c r="B4" s="19" t="s">
        <v>7</v>
      </c>
      <c r="C4" s="19" t="s">
        <v>8</v>
      </c>
      <c r="D4" s="20" t="s">
        <v>9</v>
      </c>
      <c r="E4" s="1"/>
      <c r="F4" s="74"/>
      <c r="G4" s="75"/>
      <c r="H4" s="75"/>
      <c r="I4" s="75"/>
      <c r="J4" s="75"/>
      <c r="K4" s="75"/>
      <c r="L4" s="75"/>
      <c r="M4" s="75"/>
      <c r="N4" s="76"/>
    </row>
    <row r="5" spans="1:14" ht="18" customHeight="1" thickBot="1" x14ac:dyDescent="0.3">
      <c r="A5" s="18" t="s">
        <v>10</v>
      </c>
      <c r="B5" s="19" t="s">
        <v>11</v>
      </c>
      <c r="C5" s="19" t="s">
        <v>12</v>
      </c>
      <c r="D5" s="21" t="s">
        <v>13</v>
      </c>
      <c r="E5" s="1"/>
      <c r="F5" s="77"/>
      <c r="G5" s="78"/>
      <c r="H5" s="78"/>
      <c r="I5" s="78"/>
      <c r="J5" s="78"/>
      <c r="K5" s="78"/>
      <c r="L5" s="78"/>
      <c r="M5" s="78"/>
      <c r="N5" s="79"/>
    </row>
    <row r="6" spans="1:14" ht="28.9" customHeight="1" thickBot="1" x14ac:dyDescent="0.3">
      <c r="A6" s="18" t="s">
        <v>14</v>
      </c>
      <c r="B6" s="19" t="s">
        <v>11</v>
      </c>
      <c r="C6" s="19" t="s">
        <v>15</v>
      </c>
      <c r="D6" s="20" t="s">
        <v>16</v>
      </c>
      <c r="E6" s="1"/>
      <c r="F6" s="35"/>
      <c r="G6" s="35"/>
      <c r="H6" s="35"/>
      <c r="I6" s="35"/>
      <c r="J6" s="35"/>
      <c r="K6" s="35"/>
      <c r="L6" s="35"/>
      <c r="M6" s="35"/>
      <c r="N6" s="35"/>
    </row>
    <row r="7" spans="1:14" ht="30" customHeight="1" thickBot="1" x14ac:dyDescent="0.3">
      <c r="A7" s="18" t="s">
        <v>17</v>
      </c>
      <c r="B7" s="19" t="s">
        <v>11</v>
      </c>
      <c r="C7" s="19" t="s">
        <v>12</v>
      </c>
      <c r="D7" s="20" t="s">
        <v>18</v>
      </c>
      <c r="E7" s="14" t="s">
        <v>19</v>
      </c>
    </row>
    <row r="8" spans="1:14" ht="19.899999999999999" customHeight="1" thickBot="1" x14ac:dyDescent="0.3">
      <c r="A8" s="18" t="s">
        <v>20</v>
      </c>
      <c r="B8" s="19" t="s">
        <v>7</v>
      </c>
      <c r="C8" s="19" t="s">
        <v>21</v>
      </c>
      <c r="D8" s="21" t="s">
        <v>22</v>
      </c>
      <c r="E8" s="28"/>
      <c r="F8" s="71" t="s">
        <v>23</v>
      </c>
      <c r="G8" s="72"/>
      <c r="H8" s="72"/>
      <c r="I8" s="72"/>
      <c r="J8" s="72"/>
      <c r="K8" s="72"/>
      <c r="L8" s="72"/>
      <c r="M8" s="72"/>
      <c r="N8" s="73"/>
    </row>
    <row r="9" spans="1:14" ht="33.75" customHeight="1" x14ac:dyDescent="0.25">
      <c r="A9" s="22" t="s">
        <v>24</v>
      </c>
      <c r="B9" s="23" t="s">
        <v>7</v>
      </c>
      <c r="C9" s="23" t="s">
        <v>8</v>
      </c>
      <c r="D9" s="24" t="s">
        <v>25</v>
      </c>
      <c r="E9" s="29"/>
      <c r="F9" s="74"/>
      <c r="G9" s="75"/>
      <c r="H9" s="75"/>
      <c r="I9" s="75"/>
      <c r="J9" s="75"/>
      <c r="K9" s="75"/>
      <c r="L9" s="75"/>
      <c r="M9" s="75"/>
      <c r="N9" s="76"/>
    </row>
    <row r="10" spans="1:14" ht="15.75" thickBot="1" x14ac:dyDescent="0.3">
      <c r="A10" s="29"/>
      <c r="B10" s="30"/>
      <c r="C10" s="30"/>
      <c r="D10" s="30"/>
      <c r="E10" s="37"/>
      <c r="F10" s="77"/>
      <c r="G10" s="78"/>
      <c r="H10" s="78"/>
      <c r="I10" s="78"/>
      <c r="J10" s="78"/>
      <c r="K10" s="78"/>
      <c r="L10" s="78"/>
      <c r="M10" s="78"/>
      <c r="N10" s="79"/>
    </row>
    <row r="11" spans="1:14" ht="15.75" thickBot="1" x14ac:dyDescent="0.3">
      <c r="D11" s="36"/>
      <c r="F11" s="35"/>
      <c r="G11" s="35"/>
      <c r="H11" s="35"/>
      <c r="I11" s="35"/>
      <c r="J11" s="35"/>
      <c r="K11" s="35"/>
      <c r="L11" s="35"/>
      <c r="M11" s="35"/>
      <c r="N11" s="35"/>
    </row>
    <row r="12" spans="1:14" ht="15" customHeight="1" thickBot="1" x14ac:dyDescent="0.3">
      <c r="A12" s="81" t="s">
        <v>26</v>
      </c>
      <c r="B12" s="81"/>
      <c r="C12" s="81"/>
      <c r="D12" s="81"/>
      <c r="F12" s="71" t="s">
        <v>27</v>
      </c>
      <c r="G12" s="72"/>
      <c r="H12" s="72"/>
      <c r="I12" s="72"/>
      <c r="J12" s="72"/>
      <c r="K12" s="72"/>
      <c r="L12" s="72"/>
      <c r="M12" s="72"/>
      <c r="N12" s="73"/>
    </row>
    <row r="13" spans="1:14" ht="15.75" thickBot="1" x14ac:dyDescent="0.3">
      <c r="A13" s="25" t="s">
        <v>28</v>
      </c>
      <c r="B13" s="25" t="s">
        <v>29</v>
      </c>
      <c r="C13" s="25" t="s">
        <v>30</v>
      </c>
      <c r="D13" s="25" t="s">
        <v>31</v>
      </c>
      <c r="F13" s="74"/>
      <c r="G13" s="75"/>
      <c r="H13" s="75"/>
      <c r="I13" s="75"/>
      <c r="J13" s="75"/>
      <c r="K13" s="75"/>
      <c r="L13" s="75"/>
      <c r="M13" s="75"/>
      <c r="N13" s="76"/>
    </row>
    <row r="14" spans="1:14" x14ac:dyDescent="0.25">
      <c r="A14" s="26">
        <v>1</v>
      </c>
      <c r="B14" s="27">
        <v>23</v>
      </c>
      <c r="C14" s="27">
        <v>8</v>
      </c>
      <c r="D14" s="27">
        <v>42</v>
      </c>
      <c r="F14" s="74"/>
      <c r="G14" s="75"/>
      <c r="H14" s="75"/>
      <c r="I14" s="75"/>
      <c r="J14" s="75"/>
      <c r="K14" s="75"/>
      <c r="L14" s="75"/>
      <c r="M14" s="75"/>
      <c r="N14" s="76"/>
    </row>
    <row r="15" spans="1:14" x14ac:dyDescent="0.25">
      <c r="A15" s="2">
        <v>2</v>
      </c>
      <c r="B15" s="3">
        <v>57</v>
      </c>
      <c r="C15" s="3">
        <v>12</v>
      </c>
      <c r="D15" s="3">
        <v>22</v>
      </c>
      <c r="F15" s="74"/>
      <c r="G15" s="75"/>
      <c r="H15" s="75"/>
      <c r="I15" s="75"/>
      <c r="J15" s="75"/>
      <c r="K15" s="75"/>
      <c r="L15" s="75"/>
      <c r="M15" s="75"/>
      <c r="N15" s="76"/>
    </row>
    <row r="16" spans="1:14" ht="15" customHeight="1" x14ac:dyDescent="0.25">
      <c r="A16" s="2">
        <v>3</v>
      </c>
      <c r="B16" s="3">
        <v>44</v>
      </c>
      <c r="C16" s="3">
        <v>10</v>
      </c>
      <c r="D16" s="3">
        <v>19</v>
      </c>
      <c r="F16" s="74"/>
      <c r="G16" s="75"/>
      <c r="H16" s="75"/>
      <c r="I16" s="75"/>
      <c r="J16" s="75"/>
      <c r="K16" s="75"/>
      <c r="L16" s="75"/>
      <c r="M16" s="75"/>
      <c r="N16" s="76"/>
    </row>
    <row r="17" spans="1:14" x14ac:dyDescent="0.25">
      <c r="A17" s="2">
        <v>4</v>
      </c>
      <c r="B17" s="3">
        <v>51</v>
      </c>
      <c r="C17" s="3">
        <v>6</v>
      </c>
      <c r="D17" s="3">
        <v>54</v>
      </c>
      <c r="F17" s="74"/>
      <c r="G17" s="75"/>
      <c r="H17" s="75"/>
      <c r="I17" s="75"/>
      <c r="J17" s="75"/>
      <c r="K17" s="75"/>
      <c r="L17" s="75"/>
      <c r="M17" s="75"/>
      <c r="N17" s="76"/>
    </row>
    <row r="18" spans="1:14" x14ac:dyDescent="0.25">
      <c r="A18" s="2">
        <v>5</v>
      </c>
      <c r="B18" s="3">
        <v>65</v>
      </c>
      <c r="C18" s="3">
        <v>15</v>
      </c>
      <c r="D18" s="3">
        <v>27</v>
      </c>
      <c r="F18" s="74"/>
      <c r="G18" s="75"/>
      <c r="H18" s="75"/>
      <c r="I18" s="75"/>
      <c r="J18" s="75"/>
      <c r="K18" s="75"/>
      <c r="L18" s="75"/>
      <c r="M18" s="75"/>
      <c r="N18" s="76"/>
    </row>
    <row r="19" spans="1:14" x14ac:dyDescent="0.25">
      <c r="A19" s="2">
        <v>6</v>
      </c>
      <c r="B19" s="3">
        <v>74</v>
      </c>
      <c r="C19" s="3">
        <v>14</v>
      </c>
      <c r="D19" s="3">
        <v>30</v>
      </c>
      <c r="F19" s="74"/>
      <c r="G19" s="75"/>
      <c r="H19" s="75"/>
      <c r="I19" s="75"/>
      <c r="J19" s="75"/>
      <c r="K19" s="75"/>
      <c r="L19" s="75"/>
      <c r="M19" s="75"/>
      <c r="N19" s="76"/>
    </row>
    <row r="20" spans="1:14" x14ac:dyDescent="0.25">
      <c r="A20" s="2">
        <v>7</v>
      </c>
      <c r="B20" s="3">
        <v>88</v>
      </c>
      <c r="C20" s="3">
        <v>9</v>
      </c>
      <c r="D20" s="32">
        <v>60</v>
      </c>
      <c r="F20" s="74"/>
      <c r="G20" s="75"/>
      <c r="H20" s="75"/>
      <c r="I20" s="75"/>
      <c r="J20" s="75"/>
      <c r="K20" s="75"/>
      <c r="L20" s="75"/>
      <c r="M20" s="75"/>
      <c r="N20" s="76"/>
    </row>
    <row r="21" spans="1:14" ht="15.75" thickBot="1" x14ac:dyDescent="0.3">
      <c r="A21" s="2">
        <v>8</v>
      </c>
      <c r="B21" s="3">
        <v>96</v>
      </c>
      <c r="C21" s="31">
        <v>16</v>
      </c>
      <c r="D21" s="33">
        <v>45</v>
      </c>
      <c r="F21" s="77"/>
      <c r="G21" s="78"/>
      <c r="H21" s="78"/>
      <c r="I21" s="78"/>
      <c r="J21" s="78"/>
      <c r="K21" s="78"/>
      <c r="L21" s="78"/>
      <c r="M21" s="78"/>
      <c r="N21" s="79"/>
    </row>
    <row r="22" spans="1:14" ht="15.75" thickBot="1" x14ac:dyDescent="0.3">
      <c r="A22" s="2">
        <v>9</v>
      </c>
      <c r="B22" s="3">
        <v>93</v>
      </c>
      <c r="C22" s="31">
        <v>11</v>
      </c>
      <c r="D22" s="34">
        <v>50</v>
      </c>
      <c r="F22" s="35"/>
      <c r="G22" s="35"/>
      <c r="H22" s="35"/>
      <c r="I22" s="35"/>
      <c r="J22" s="35"/>
      <c r="K22" s="35"/>
      <c r="L22" s="35"/>
      <c r="M22" s="35"/>
      <c r="N22" s="35"/>
    </row>
    <row r="23" spans="1:14" ht="14.45" customHeight="1" x14ac:dyDescent="0.25">
      <c r="A23" s="2">
        <v>10</v>
      </c>
      <c r="B23" s="3">
        <v>98</v>
      </c>
      <c r="C23" s="3">
        <v>13</v>
      </c>
      <c r="D23" s="27">
        <v>55</v>
      </c>
      <c r="F23" s="71" t="s">
        <v>32</v>
      </c>
      <c r="G23" s="72"/>
      <c r="H23" s="72"/>
      <c r="I23" s="72"/>
      <c r="J23" s="72"/>
      <c r="K23" s="72"/>
      <c r="L23" s="72"/>
      <c r="M23" s="72"/>
      <c r="N23" s="73"/>
    </row>
    <row r="24" spans="1:14" ht="15.75" thickBot="1" x14ac:dyDescent="0.3">
      <c r="A24" s="4" t="s">
        <v>33</v>
      </c>
      <c r="B24" s="5" t="str">
        <f>ROUND(AVERAGE(B14:B23),0)&amp;" anos"</f>
        <v>69 anos</v>
      </c>
      <c r="C24" s="6" t="str">
        <f>ROUND(AVERAGE(C14:C23),0)&amp;" sessões"</f>
        <v>11 sessões</v>
      </c>
      <c r="D24" s="7" t="str">
        <f>ROUND(AVERAGE(D14:D23),0)&amp;" minutos"</f>
        <v>40 minutos</v>
      </c>
      <c r="F24" s="74"/>
      <c r="G24" s="75"/>
      <c r="H24" s="75"/>
      <c r="I24" s="75"/>
      <c r="J24" s="75"/>
      <c r="K24" s="75"/>
      <c r="L24" s="75"/>
      <c r="M24" s="75"/>
      <c r="N24" s="76"/>
    </row>
    <row r="25" spans="1:14" ht="15.75" thickBot="1" x14ac:dyDescent="0.3">
      <c r="A25" s="8" t="s">
        <v>34</v>
      </c>
      <c r="B25" s="9">
        <f>_xlfn.PERCENTILE.INC(Tabela4[Idade], 0.95)</f>
        <v>97.1</v>
      </c>
      <c r="C25" s="10">
        <f>_xlfn.PERCENTILE.INC(Tabela4[Sessões],0.95)</f>
        <v>15.549999999999999</v>
      </c>
      <c r="D25" s="11">
        <f>_xlfn.PERCENTILE.INC(Tabela4[Tempo da Sessão (min)],0.95)</f>
        <v>57.749999999999993</v>
      </c>
      <c r="F25" s="74"/>
      <c r="G25" s="75"/>
      <c r="H25" s="75"/>
      <c r="I25" s="75"/>
      <c r="J25" s="75"/>
      <c r="K25" s="75"/>
      <c r="L25" s="75"/>
      <c r="M25" s="75"/>
      <c r="N25" s="76"/>
    </row>
    <row r="26" spans="1:14" x14ac:dyDescent="0.25">
      <c r="F26" s="74"/>
      <c r="G26" s="75"/>
      <c r="H26" s="75"/>
      <c r="I26" s="75"/>
      <c r="J26" s="75"/>
      <c r="K26" s="75"/>
      <c r="L26" s="75"/>
      <c r="M26" s="75"/>
      <c r="N26" s="76"/>
    </row>
    <row r="27" spans="1:14" x14ac:dyDescent="0.25">
      <c r="F27" s="74"/>
      <c r="G27" s="75"/>
      <c r="H27" s="75"/>
      <c r="I27" s="75"/>
      <c r="J27" s="75"/>
      <c r="K27" s="75"/>
      <c r="L27" s="75"/>
      <c r="M27" s="75"/>
      <c r="N27" s="76"/>
    </row>
    <row r="28" spans="1:14" x14ac:dyDescent="0.25">
      <c r="F28" s="74"/>
      <c r="G28" s="75"/>
      <c r="H28" s="75"/>
      <c r="I28" s="75"/>
      <c r="J28" s="75"/>
      <c r="K28" s="75"/>
      <c r="L28" s="75"/>
      <c r="M28" s="75"/>
      <c r="N28" s="76"/>
    </row>
    <row r="29" spans="1:14" x14ac:dyDescent="0.25">
      <c r="F29" s="74"/>
      <c r="G29" s="75"/>
      <c r="H29" s="75"/>
      <c r="I29" s="75"/>
      <c r="J29" s="75"/>
      <c r="K29" s="75"/>
      <c r="L29" s="75"/>
      <c r="M29" s="75"/>
      <c r="N29" s="76"/>
    </row>
    <row r="30" spans="1:14" x14ac:dyDescent="0.25">
      <c r="F30" s="74"/>
      <c r="G30" s="75"/>
      <c r="H30" s="75"/>
      <c r="I30" s="75"/>
      <c r="J30" s="75"/>
      <c r="K30" s="75"/>
      <c r="L30" s="75"/>
      <c r="M30" s="75"/>
      <c r="N30" s="76"/>
    </row>
    <row r="31" spans="1:14" x14ac:dyDescent="0.25">
      <c r="F31" s="74"/>
      <c r="G31" s="75"/>
      <c r="H31" s="75"/>
      <c r="I31" s="75"/>
      <c r="J31" s="75"/>
      <c r="K31" s="75"/>
      <c r="L31" s="75"/>
      <c r="M31" s="75"/>
      <c r="N31" s="76"/>
    </row>
    <row r="32" spans="1:14" ht="15.75" thickBot="1" x14ac:dyDescent="0.3">
      <c r="F32" s="77"/>
      <c r="G32" s="78"/>
      <c r="H32" s="78"/>
      <c r="I32" s="78"/>
      <c r="J32" s="78"/>
      <c r="K32" s="78"/>
      <c r="L32" s="78"/>
      <c r="M32" s="78"/>
      <c r="N32" s="79"/>
    </row>
    <row r="33" spans="1:14" ht="14.45" customHeight="1" thickBot="1" x14ac:dyDescent="0.3">
      <c r="A33" s="13"/>
    </row>
    <row r="34" spans="1:14" ht="14.45" customHeight="1" x14ac:dyDescent="0.25">
      <c r="A34" s="13"/>
      <c r="F34" s="71" t="s">
        <v>35</v>
      </c>
      <c r="G34" s="72"/>
      <c r="H34" s="72"/>
      <c r="I34" s="72"/>
      <c r="J34" s="72"/>
      <c r="K34" s="72"/>
      <c r="L34" s="72"/>
      <c r="M34" s="72"/>
      <c r="N34" s="73"/>
    </row>
    <row r="35" spans="1:14" ht="14.45" customHeight="1" x14ac:dyDescent="0.25">
      <c r="F35" s="74"/>
      <c r="G35" s="75"/>
      <c r="H35" s="75"/>
      <c r="I35" s="75"/>
      <c r="J35" s="75"/>
      <c r="K35" s="75"/>
      <c r="L35" s="75"/>
      <c r="M35" s="75"/>
      <c r="N35" s="76"/>
    </row>
    <row r="36" spans="1:14" ht="15" customHeight="1" x14ac:dyDescent="0.25">
      <c r="A36" s="12"/>
      <c r="B36" s="12"/>
      <c r="C36" s="12"/>
      <c r="D36" s="12"/>
      <c r="E36" s="12"/>
      <c r="F36" s="74"/>
      <c r="G36" s="75"/>
      <c r="H36" s="75"/>
      <c r="I36" s="75"/>
      <c r="J36" s="75"/>
      <c r="K36" s="75"/>
      <c r="L36" s="75"/>
      <c r="M36" s="75"/>
      <c r="N36" s="76"/>
    </row>
    <row r="37" spans="1:14" x14ac:dyDescent="0.25">
      <c r="A37" s="12"/>
      <c r="B37" s="12"/>
      <c r="C37" s="12"/>
      <c r="D37" s="12"/>
      <c r="E37" s="12"/>
      <c r="F37" s="74"/>
      <c r="G37" s="75"/>
      <c r="H37" s="75"/>
      <c r="I37" s="75"/>
      <c r="J37" s="75"/>
      <c r="K37" s="75"/>
      <c r="L37" s="75"/>
      <c r="M37" s="75"/>
      <c r="N37" s="76"/>
    </row>
    <row r="38" spans="1:14" x14ac:dyDescent="0.25">
      <c r="A38" s="12"/>
      <c r="B38" s="12"/>
      <c r="C38" s="12"/>
      <c r="D38" s="12"/>
      <c r="E38" s="12"/>
      <c r="F38" s="74"/>
      <c r="G38" s="75"/>
      <c r="H38" s="75"/>
      <c r="I38" s="75"/>
      <c r="J38" s="75"/>
      <c r="K38" s="75"/>
      <c r="L38" s="75"/>
      <c r="M38" s="75"/>
      <c r="N38" s="76"/>
    </row>
    <row r="39" spans="1:14" x14ac:dyDescent="0.25">
      <c r="F39" s="74"/>
      <c r="G39" s="75"/>
      <c r="H39" s="75"/>
      <c r="I39" s="75"/>
      <c r="J39" s="75"/>
      <c r="K39" s="75"/>
      <c r="L39" s="75"/>
      <c r="M39" s="75"/>
      <c r="N39" s="76"/>
    </row>
    <row r="40" spans="1:14" x14ac:dyDescent="0.25">
      <c r="F40" s="74"/>
      <c r="G40" s="75"/>
      <c r="H40" s="75"/>
      <c r="I40" s="75"/>
      <c r="J40" s="75"/>
      <c r="K40" s="75"/>
      <c r="L40" s="75"/>
      <c r="M40" s="75"/>
      <c r="N40" s="76"/>
    </row>
    <row r="41" spans="1:14" x14ac:dyDescent="0.25">
      <c r="F41" s="74"/>
      <c r="G41" s="75"/>
      <c r="H41" s="75"/>
      <c r="I41" s="75"/>
      <c r="J41" s="75"/>
      <c r="K41" s="75"/>
      <c r="L41" s="75"/>
      <c r="M41" s="75"/>
      <c r="N41" s="76"/>
    </row>
    <row r="42" spans="1:14" x14ac:dyDescent="0.25">
      <c r="F42" s="74"/>
      <c r="G42" s="75"/>
      <c r="H42" s="75"/>
      <c r="I42" s="75"/>
      <c r="J42" s="75"/>
      <c r="K42" s="75"/>
      <c r="L42" s="75"/>
      <c r="M42" s="75"/>
      <c r="N42" s="76"/>
    </row>
    <row r="43" spans="1:14" ht="15.75" thickBot="1" x14ac:dyDescent="0.3">
      <c r="F43" s="77"/>
      <c r="G43" s="78"/>
      <c r="H43" s="78"/>
      <c r="I43" s="78"/>
      <c r="J43" s="78"/>
      <c r="K43" s="78"/>
      <c r="L43" s="78"/>
      <c r="M43" s="78"/>
      <c r="N43" s="79"/>
    </row>
  </sheetData>
  <mergeCells count="7">
    <mergeCell ref="F34:N43"/>
    <mergeCell ref="F23:N32"/>
    <mergeCell ref="A2:D2"/>
    <mergeCell ref="A12:D12"/>
    <mergeCell ref="F1:N5"/>
    <mergeCell ref="F8:N10"/>
    <mergeCell ref="F12:N21"/>
  </mergeCells>
  <pageMargins left="0.7" right="0.7" top="0.75" bottom="0.75" header="0.3" footer="0.3"/>
  <pageSetup paperSize="8" fitToWidth="0" fitToHeight="0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E4D7C-51FB-4AD5-A84F-4E4D137605CC}">
  <sheetPr>
    <pageSetUpPr fitToPage="1"/>
  </sheetPr>
  <dimension ref="A11:P35"/>
  <sheetViews>
    <sheetView topLeftCell="A10" zoomScale="118" zoomScaleNormal="118" workbookViewId="0">
      <selection activeCell="N31" sqref="N31"/>
    </sheetView>
  </sheetViews>
  <sheetFormatPr defaultRowHeight="15" x14ac:dyDescent="0.25"/>
  <cols>
    <col min="1" max="1" width="8.85546875" customWidth="1"/>
  </cols>
  <sheetData>
    <row r="11" spans="1:16" ht="15" customHeight="1" x14ac:dyDescent="0.25">
      <c r="J11" s="12"/>
      <c r="K11" s="12"/>
      <c r="L11" s="12"/>
      <c r="M11" s="12"/>
      <c r="N11" s="12"/>
      <c r="O11" s="12"/>
      <c r="P11" s="12"/>
    </row>
    <row r="12" spans="1:16" x14ac:dyDescent="0.25">
      <c r="J12" s="12"/>
      <c r="K12" s="12"/>
      <c r="L12" s="12"/>
      <c r="M12" s="12"/>
      <c r="N12" s="12"/>
      <c r="O12" s="12"/>
      <c r="P12" s="12"/>
    </row>
    <row r="13" spans="1:16" x14ac:dyDescent="0.25">
      <c r="J13" s="12"/>
      <c r="K13" s="12"/>
      <c r="L13" s="12"/>
      <c r="M13" s="12"/>
      <c r="N13" s="12"/>
      <c r="O13" s="12"/>
      <c r="P13" s="12"/>
    </row>
    <row r="14" spans="1:16" ht="15.75" thickBot="1" x14ac:dyDescent="0.3">
      <c r="A14" s="12"/>
      <c r="B14" s="12"/>
    </row>
    <row r="15" spans="1:16" ht="14.45" customHeight="1" x14ac:dyDescent="0.25">
      <c r="A15" s="82" t="s">
        <v>36</v>
      </c>
      <c r="B15" s="83"/>
      <c r="C15" s="83"/>
      <c r="D15" s="83"/>
      <c r="E15" s="83"/>
      <c r="F15" s="83"/>
      <c r="G15" s="84"/>
      <c r="I15" s="91" t="s">
        <v>37</v>
      </c>
      <c r="J15" s="92"/>
      <c r="K15" s="92"/>
      <c r="L15" s="92"/>
      <c r="M15" s="92"/>
      <c r="N15" s="92"/>
      <c r="O15" s="93"/>
    </row>
    <row r="16" spans="1:16" x14ac:dyDescent="0.25">
      <c r="A16" s="85"/>
      <c r="B16" s="86"/>
      <c r="C16" s="86"/>
      <c r="D16" s="86"/>
      <c r="E16" s="86"/>
      <c r="F16" s="86"/>
      <c r="G16" s="87"/>
      <c r="I16" s="94"/>
      <c r="J16" s="86"/>
      <c r="K16" s="86"/>
      <c r="L16" s="86"/>
      <c r="M16" s="86"/>
      <c r="N16" s="86"/>
      <c r="O16" s="95"/>
    </row>
    <row r="17" spans="1:15" ht="14.45" customHeight="1" x14ac:dyDescent="0.25">
      <c r="A17" s="85"/>
      <c r="B17" s="86"/>
      <c r="C17" s="86"/>
      <c r="D17" s="86"/>
      <c r="E17" s="86"/>
      <c r="F17" s="86"/>
      <c r="G17" s="87"/>
      <c r="I17" s="94"/>
      <c r="J17" s="86"/>
      <c r="K17" s="86"/>
      <c r="L17" s="86"/>
      <c r="M17" s="86"/>
      <c r="N17" s="86"/>
      <c r="O17" s="95"/>
    </row>
    <row r="18" spans="1:15" ht="14.45" customHeight="1" thickBot="1" x14ac:dyDescent="0.3">
      <c r="A18" s="88"/>
      <c r="B18" s="89"/>
      <c r="C18" s="89"/>
      <c r="D18" s="89"/>
      <c r="E18" s="89"/>
      <c r="F18" s="89"/>
      <c r="G18" s="90"/>
      <c r="I18" s="96"/>
      <c r="J18" s="97"/>
      <c r="K18" s="97"/>
      <c r="L18" s="97"/>
      <c r="M18" s="97"/>
      <c r="N18" s="97"/>
      <c r="O18" s="98"/>
    </row>
    <row r="31" spans="1:15" ht="15.75" thickBot="1" x14ac:dyDescent="0.3"/>
    <row r="32" spans="1:15" x14ac:dyDescent="0.25">
      <c r="A32" s="91" t="s">
        <v>38</v>
      </c>
      <c r="B32" s="92"/>
      <c r="C32" s="92"/>
      <c r="D32" s="92"/>
      <c r="E32" s="92"/>
      <c r="F32" s="92"/>
      <c r="G32" s="93"/>
    </row>
    <row r="33" spans="1:7" x14ac:dyDescent="0.25">
      <c r="A33" s="94"/>
      <c r="B33" s="86"/>
      <c r="C33" s="86"/>
      <c r="D33" s="86"/>
      <c r="E33" s="86"/>
      <c r="F33" s="86"/>
      <c r="G33" s="95"/>
    </row>
    <row r="34" spans="1:7" x14ac:dyDescent="0.25">
      <c r="A34" s="94"/>
      <c r="B34" s="86"/>
      <c r="C34" s="86"/>
      <c r="D34" s="86"/>
      <c r="E34" s="86"/>
      <c r="F34" s="86"/>
      <c r="G34" s="95"/>
    </row>
    <row r="35" spans="1:7" ht="15.75" thickBot="1" x14ac:dyDescent="0.3">
      <c r="A35" s="96"/>
      <c r="B35" s="97"/>
      <c r="C35" s="97"/>
      <c r="D35" s="97"/>
      <c r="E35" s="97"/>
      <c r="F35" s="97"/>
      <c r="G35" s="98"/>
    </row>
  </sheetData>
  <mergeCells count="3">
    <mergeCell ref="A15:G18"/>
    <mergeCell ref="A32:G35"/>
    <mergeCell ref="I15:O18"/>
  </mergeCells>
  <pageMargins left="0.7" right="0.7" top="0.75" bottom="0.75" header="0.3" footer="0.3"/>
  <pageSetup paperSize="8" scale="9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9FC2-245D-47AF-AD20-3CC704C4FF4D}">
  <dimension ref="A1:K52"/>
  <sheetViews>
    <sheetView topLeftCell="A6" zoomScale="91" zoomScaleNormal="91" workbookViewId="0">
      <selection activeCell="B22" sqref="B22"/>
    </sheetView>
  </sheetViews>
  <sheetFormatPr defaultRowHeight="15" x14ac:dyDescent="0.25"/>
  <cols>
    <col min="1" max="1" width="22.42578125" bestFit="1" customWidth="1"/>
    <col min="2" max="2" width="14.7109375" bestFit="1" customWidth="1"/>
    <col min="3" max="3" width="12.5703125" bestFit="1" customWidth="1"/>
    <col min="4" max="4" width="25.28515625" bestFit="1" customWidth="1"/>
    <col min="5" max="5" width="8.85546875" customWidth="1"/>
  </cols>
  <sheetData>
    <row r="1" spans="1:11" ht="15.75" customHeight="1" thickBot="1" x14ac:dyDescent="0.3">
      <c r="A1" s="108" t="s">
        <v>39</v>
      </c>
      <c r="B1" s="109"/>
      <c r="C1" s="109"/>
      <c r="D1" s="110"/>
      <c r="F1" s="111" t="s">
        <v>40</v>
      </c>
      <c r="G1" s="112"/>
      <c r="H1" s="112"/>
      <c r="I1" s="112"/>
      <c r="J1" s="112"/>
      <c r="K1" s="113"/>
    </row>
    <row r="2" spans="1:11" ht="15.75" customHeight="1" thickBot="1" x14ac:dyDescent="0.3">
      <c r="A2" s="25" t="s">
        <v>28</v>
      </c>
      <c r="B2" s="25" t="s">
        <v>29</v>
      </c>
      <c r="C2" s="25" t="s">
        <v>30</v>
      </c>
      <c r="D2" s="25" t="s">
        <v>31</v>
      </c>
      <c r="F2" s="114"/>
      <c r="G2" s="115"/>
      <c r="H2" s="115"/>
      <c r="I2" s="115"/>
      <c r="J2" s="115"/>
      <c r="K2" s="116"/>
    </row>
    <row r="3" spans="1:11" ht="15" customHeight="1" x14ac:dyDescent="0.25">
      <c r="A3" s="38">
        <v>1</v>
      </c>
      <c r="B3" s="27">
        <v>23</v>
      </c>
      <c r="C3" s="27">
        <v>8</v>
      </c>
      <c r="D3" s="39">
        <v>42</v>
      </c>
      <c r="F3" s="114"/>
      <c r="G3" s="115"/>
      <c r="H3" s="115"/>
      <c r="I3" s="115"/>
      <c r="J3" s="115"/>
      <c r="K3" s="116"/>
    </row>
    <row r="4" spans="1:11" ht="15" customHeight="1" x14ac:dyDescent="0.25">
      <c r="A4" s="40">
        <v>2</v>
      </c>
      <c r="B4" s="3">
        <v>57</v>
      </c>
      <c r="C4" s="3">
        <v>12</v>
      </c>
      <c r="D4" s="41">
        <v>22</v>
      </c>
      <c r="F4" s="114"/>
      <c r="G4" s="115"/>
      <c r="H4" s="115"/>
      <c r="I4" s="115"/>
      <c r="J4" s="115"/>
      <c r="K4" s="116"/>
    </row>
    <row r="5" spans="1:11" ht="15" customHeight="1" thickBot="1" x14ac:dyDescent="0.3">
      <c r="A5" s="40">
        <v>3</v>
      </c>
      <c r="B5" s="3">
        <v>44</v>
      </c>
      <c r="C5" s="3">
        <v>10</v>
      </c>
      <c r="D5" s="41">
        <v>19</v>
      </c>
      <c r="F5" s="117"/>
      <c r="G5" s="118"/>
      <c r="H5" s="118"/>
      <c r="I5" s="118"/>
      <c r="J5" s="118"/>
      <c r="K5" s="119"/>
    </row>
    <row r="6" spans="1:11" ht="15.75" customHeight="1" thickBot="1" x14ac:dyDescent="0.3">
      <c r="A6" s="40">
        <v>4</v>
      </c>
      <c r="B6" s="3">
        <v>51</v>
      </c>
      <c r="C6" s="3">
        <v>6</v>
      </c>
      <c r="D6" s="41">
        <v>54</v>
      </c>
      <c r="E6" s="55"/>
      <c r="F6" s="54"/>
      <c r="G6" s="54"/>
      <c r="H6" s="54"/>
      <c r="I6" s="54"/>
      <c r="J6" s="54"/>
      <c r="K6" s="54"/>
    </row>
    <row r="7" spans="1:11" x14ac:dyDescent="0.25">
      <c r="A7" s="40">
        <v>5</v>
      </c>
      <c r="B7" s="3">
        <v>65</v>
      </c>
      <c r="C7" s="3">
        <v>15</v>
      </c>
      <c r="D7" s="41">
        <v>27</v>
      </c>
      <c r="E7" s="55"/>
      <c r="F7" s="71" t="s">
        <v>41</v>
      </c>
      <c r="G7" s="72"/>
      <c r="H7" s="72"/>
      <c r="I7" s="72"/>
      <c r="J7" s="72"/>
      <c r="K7" s="73"/>
    </row>
    <row r="8" spans="1:11" ht="15.75" customHeight="1" x14ac:dyDescent="0.25">
      <c r="A8" s="40">
        <v>6</v>
      </c>
      <c r="B8" s="3">
        <v>74</v>
      </c>
      <c r="C8" s="3">
        <v>14</v>
      </c>
      <c r="D8" s="41">
        <v>30</v>
      </c>
      <c r="F8" s="74"/>
      <c r="G8" s="75"/>
      <c r="H8" s="75"/>
      <c r="I8" s="75"/>
      <c r="J8" s="75"/>
      <c r="K8" s="76"/>
    </row>
    <row r="9" spans="1:11" ht="15.75" customHeight="1" x14ac:dyDescent="0.25">
      <c r="A9" s="40">
        <v>7</v>
      </c>
      <c r="B9" s="3">
        <v>88</v>
      </c>
      <c r="C9" s="3">
        <v>9</v>
      </c>
      <c r="D9" s="42">
        <v>60</v>
      </c>
      <c r="F9" s="74"/>
      <c r="G9" s="75"/>
      <c r="H9" s="75"/>
      <c r="I9" s="75"/>
      <c r="J9" s="75"/>
      <c r="K9" s="76"/>
    </row>
    <row r="10" spans="1:11" ht="15.75" customHeight="1" x14ac:dyDescent="0.25">
      <c r="A10" s="40">
        <v>8</v>
      </c>
      <c r="B10" s="3">
        <v>96</v>
      </c>
      <c r="C10" s="31">
        <v>16</v>
      </c>
      <c r="D10" s="43">
        <v>45</v>
      </c>
      <c r="F10" s="74"/>
      <c r="G10" s="75"/>
      <c r="H10" s="75"/>
      <c r="I10" s="75"/>
      <c r="J10" s="75"/>
      <c r="K10" s="76"/>
    </row>
    <row r="11" spans="1:11" ht="15.75" customHeight="1" thickBot="1" x14ac:dyDescent="0.3">
      <c r="A11" s="40">
        <v>9</v>
      </c>
      <c r="B11" s="3">
        <v>93</v>
      </c>
      <c r="C11" s="31">
        <v>11</v>
      </c>
      <c r="D11" s="44">
        <v>50</v>
      </c>
      <c r="F11" s="77"/>
      <c r="G11" s="78"/>
      <c r="H11" s="78"/>
      <c r="I11" s="78"/>
      <c r="J11" s="78"/>
      <c r="K11" s="79"/>
    </row>
    <row r="12" spans="1:11" ht="16.5" thickBot="1" x14ac:dyDescent="0.3">
      <c r="A12" s="45">
        <v>10</v>
      </c>
      <c r="B12" s="32">
        <v>98</v>
      </c>
      <c r="C12" s="32">
        <v>13</v>
      </c>
      <c r="D12" s="46">
        <v>55</v>
      </c>
      <c r="F12" s="53"/>
      <c r="G12" s="53"/>
      <c r="H12" s="53"/>
      <c r="I12" s="53"/>
      <c r="J12" s="53"/>
      <c r="K12" s="53"/>
    </row>
    <row r="13" spans="1:11" x14ac:dyDescent="0.25">
      <c r="A13" s="59" t="s">
        <v>33</v>
      </c>
      <c r="B13" s="47">
        <f>ROUND(AVERAGE(B3:B12),0)</f>
        <v>69</v>
      </c>
      <c r="C13" s="48">
        <f>ROUND(AVERAGE(C3:C12),0)</f>
        <v>11</v>
      </c>
      <c r="D13" s="49">
        <f>ROUND(AVERAGE(D3:D12),0)</f>
        <v>40</v>
      </c>
      <c r="F13" s="71" t="s">
        <v>42</v>
      </c>
      <c r="G13" s="72"/>
      <c r="H13" s="72"/>
      <c r="I13" s="72"/>
      <c r="J13" s="72"/>
      <c r="K13" s="73"/>
    </row>
    <row r="14" spans="1:11" x14ac:dyDescent="0.25">
      <c r="A14" s="60" t="s">
        <v>43</v>
      </c>
      <c r="B14" s="50">
        <f>_xlfn.STDEV.S(B3:B12)</f>
        <v>25.291412684062465</v>
      </c>
      <c r="C14" s="51">
        <f>_xlfn.STDEV.S(C3:C12)</f>
        <v>3.2041639575194458</v>
      </c>
      <c r="D14" s="52">
        <f>_xlfn.STDEV.S(D3:D12)</f>
        <v>14.84138358330067</v>
      </c>
      <c r="F14" s="74"/>
      <c r="G14" s="75"/>
      <c r="H14" s="75"/>
      <c r="I14" s="75"/>
      <c r="J14" s="75"/>
      <c r="K14" s="76"/>
    </row>
    <row r="15" spans="1:11" ht="15.75" thickBot="1" x14ac:dyDescent="0.3">
      <c r="A15" s="61" t="s">
        <v>44</v>
      </c>
      <c r="B15" s="56">
        <f>B14/B13</f>
        <v>0.36654221281249949</v>
      </c>
      <c r="C15" s="57">
        <f>C14/C13</f>
        <v>0.29128763250176781</v>
      </c>
      <c r="D15" s="58">
        <f>D14/D13</f>
        <v>0.37103458958251678</v>
      </c>
      <c r="F15" s="74"/>
      <c r="G15" s="75"/>
      <c r="H15" s="75"/>
      <c r="I15" s="75"/>
      <c r="J15" s="75"/>
      <c r="K15" s="76"/>
    </row>
    <row r="16" spans="1:11" x14ac:dyDescent="0.25">
      <c r="F16" s="74"/>
      <c r="G16" s="75"/>
      <c r="H16" s="75"/>
      <c r="I16" s="75"/>
      <c r="J16" s="75"/>
      <c r="K16" s="76"/>
    </row>
    <row r="17" spans="6:11" ht="15.75" thickBot="1" x14ac:dyDescent="0.3">
      <c r="F17" s="77"/>
      <c r="G17" s="78"/>
      <c r="H17" s="78"/>
      <c r="I17" s="78"/>
      <c r="J17" s="78"/>
      <c r="K17" s="79"/>
    </row>
    <row r="18" spans="6:11" ht="15.75" thickBot="1" x14ac:dyDescent="0.3"/>
    <row r="19" spans="6:11" ht="15" customHeight="1" x14ac:dyDescent="0.25">
      <c r="F19" s="71" t="s">
        <v>45</v>
      </c>
      <c r="G19" s="72"/>
      <c r="H19" s="72"/>
      <c r="I19" s="72"/>
      <c r="J19" s="72"/>
      <c r="K19" s="73"/>
    </row>
    <row r="20" spans="6:11" x14ac:dyDescent="0.25">
      <c r="F20" s="74"/>
      <c r="G20" s="75"/>
      <c r="H20" s="75"/>
      <c r="I20" s="75"/>
      <c r="J20" s="75"/>
      <c r="K20" s="76"/>
    </row>
    <row r="21" spans="6:11" x14ac:dyDescent="0.25">
      <c r="F21" s="74"/>
      <c r="G21" s="75"/>
      <c r="H21" s="75"/>
      <c r="I21" s="75"/>
      <c r="J21" s="75"/>
      <c r="K21" s="76"/>
    </row>
    <row r="22" spans="6:11" x14ac:dyDescent="0.25">
      <c r="F22" s="74"/>
      <c r="G22" s="75"/>
      <c r="H22" s="75"/>
      <c r="I22" s="75"/>
      <c r="J22" s="75"/>
      <c r="K22" s="76"/>
    </row>
    <row r="23" spans="6:11" x14ac:dyDescent="0.25">
      <c r="F23" s="74"/>
      <c r="G23" s="75"/>
      <c r="H23" s="75"/>
      <c r="I23" s="75"/>
      <c r="J23" s="75"/>
      <c r="K23" s="76"/>
    </row>
    <row r="24" spans="6:11" x14ac:dyDescent="0.25">
      <c r="F24" s="74"/>
      <c r="G24" s="75"/>
      <c r="H24" s="75"/>
      <c r="I24" s="75"/>
      <c r="J24" s="75"/>
      <c r="K24" s="76"/>
    </row>
    <row r="25" spans="6:11" x14ac:dyDescent="0.25">
      <c r="F25" s="74"/>
      <c r="G25" s="75"/>
      <c r="H25" s="75"/>
      <c r="I25" s="75"/>
      <c r="J25" s="75"/>
      <c r="K25" s="76"/>
    </row>
    <row r="26" spans="6:11" x14ac:dyDescent="0.25">
      <c r="F26" s="74"/>
      <c r="G26" s="75"/>
      <c r="H26" s="75"/>
      <c r="I26" s="75"/>
      <c r="J26" s="75"/>
      <c r="K26" s="76"/>
    </row>
    <row r="27" spans="6:11" x14ac:dyDescent="0.25">
      <c r="F27" s="74"/>
      <c r="G27" s="75"/>
      <c r="H27" s="75"/>
      <c r="I27" s="75"/>
      <c r="J27" s="75"/>
      <c r="K27" s="76"/>
    </row>
    <row r="28" spans="6:11" x14ac:dyDescent="0.25">
      <c r="F28" s="74"/>
      <c r="G28" s="75"/>
      <c r="H28" s="75"/>
      <c r="I28" s="75"/>
      <c r="J28" s="75"/>
      <c r="K28" s="76"/>
    </row>
    <row r="29" spans="6:11" x14ac:dyDescent="0.25">
      <c r="F29" s="74"/>
      <c r="G29" s="75"/>
      <c r="H29" s="75"/>
      <c r="I29" s="75"/>
      <c r="J29" s="75"/>
      <c r="K29" s="76"/>
    </row>
    <row r="30" spans="6:11" x14ac:dyDescent="0.25">
      <c r="F30" s="74"/>
      <c r="G30" s="75"/>
      <c r="H30" s="75"/>
      <c r="I30" s="75"/>
      <c r="J30" s="75"/>
      <c r="K30" s="76"/>
    </row>
    <row r="31" spans="6:11" x14ac:dyDescent="0.25">
      <c r="F31" s="74"/>
      <c r="G31" s="75"/>
      <c r="H31" s="75"/>
      <c r="I31" s="75"/>
      <c r="J31" s="75"/>
      <c r="K31" s="76"/>
    </row>
    <row r="32" spans="6:11" x14ac:dyDescent="0.25">
      <c r="F32" s="74"/>
      <c r="G32" s="75"/>
      <c r="H32" s="75"/>
      <c r="I32" s="75"/>
      <c r="J32" s="75"/>
      <c r="K32" s="76"/>
    </row>
    <row r="33" spans="6:11" ht="15.75" thickBot="1" x14ac:dyDescent="0.3">
      <c r="F33" s="77"/>
      <c r="G33" s="78"/>
      <c r="H33" s="78"/>
      <c r="I33" s="78"/>
      <c r="J33" s="78"/>
      <c r="K33" s="79"/>
    </row>
    <row r="34" spans="6:11" ht="15.75" thickBot="1" x14ac:dyDescent="0.3"/>
    <row r="35" spans="6:11" ht="15" customHeight="1" x14ac:dyDescent="0.25">
      <c r="F35" s="99" t="s">
        <v>46</v>
      </c>
      <c r="G35" s="100"/>
      <c r="H35" s="100"/>
      <c r="I35" s="100"/>
      <c r="J35" s="100"/>
      <c r="K35" s="101"/>
    </row>
    <row r="36" spans="6:11" x14ac:dyDescent="0.25">
      <c r="F36" s="102"/>
      <c r="G36" s="103"/>
      <c r="H36" s="103"/>
      <c r="I36" s="103"/>
      <c r="J36" s="103"/>
      <c r="K36" s="104"/>
    </row>
    <row r="37" spans="6:11" x14ac:dyDescent="0.25">
      <c r="F37" s="102"/>
      <c r="G37" s="103"/>
      <c r="H37" s="103"/>
      <c r="I37" s="103"/>
      <c r="J37" s="103"/>
      <c r="K37" s="104"/>
    </row>
    <row r="38" spans="6:11" x14ac:dyDescent="0.25">
      <c r="F38" s="102"/>
      <c r="G38" s="103"/>
      <c r="H38" s="103"/>
      <c r="I38" s="103"/>
      <c r="J38" s="103"/>
      <c r="K38" s="104"/>
    </row>
    <row r="39" spans="6:11" x14ac:dyDescent="0.25">
      <c r="F39" s="102"/>
      <c r="G39" s="103"/>
      <c r="H39" s="103"/>
      <c r="I39" s="103"/>
      <c r="J39" s="103"/>
      <c r="K39" s="104"/>
    </row>
    <row r="40" spans="6:11" x14ac:dyDescent="0.25">
      <c r="F40" s="102"/>
      <c r="G40" s="103"/>
      <c r="H40" s="103"/>
      <c r="I40" s="103"/>
      <c r="J40" s="103"/>
      <c r="K40" s="104"/>
    </row>
    <row r="41" spans="6:11" x14ac:dyDescent="0.25">
      <c r="F41" s="102"/>
      <c r="G41" s="103"/>
      <c r="H41" s="103"/>
      <c r="I41" s="103"/>
      <c r="J41" s="103"/>
      <c r="K41" s="104"/>
    </row>
    <row r="42" spans="6:11" x14ac:dyDescent="0.25">
      <c r="F42" s="102"/>
      <c r="G42" s="103"/>
      <c r="H42" s="103"/>
      <c r="I42" s="103"/>
      <c r="J42" s="103"/>
      <c r="K42" s="104"/>
    </row>
    <row r="43" spans="6:11" x14ac:dyDescent="0.25">
      <c r="F43" s="102"/>
      <c r="G43" s="103"/>
      <c r="H43" s="103"/>
      <c r="I43" s="103"/>
      <c r="J43" s="103"/>
      <c r="K43" s="104"/>
    </row>
    <row r="44" spans="6:11" x14ac:dyDescent="0.25">
      <c r="F44" s="102"/>
      <c r="G44" s="103"/>
      <c r="H44" s="103"/>
      <c r="I44" s="103"/>
      <c r="J44" s="103"/>
      <c r="K44" s="104"/>
    </row>
    <row r="45" spans="6:11" x14ac:dyDescent="0.25">
      <c r="F45" s="102"/>
      <c r="G45" s="103"/>
      <c r="H45" s="103"/>
      <c r="I45" s="103"/>
      <c r="J45" s="103"/>
      <c r="K45" s="104"/>
    </row>
    <row r="46" spans="6:11" x14ac:dyDescent="0.25">
      <c r="F46" s="102"/>
      <c r="G46" s="103"/>
      <c r="H46" s="103"/>
      <c r="I46" s="103"/>
      <c r="J46" s="103"/>
      <c r="K46" s="104"/>
    </row>
    <row r="47" spans="6:11" ht="15.75" thickBot="1" x14ac:dyDescent="0.3">
      <c r="F47" s="105"/>
      <c r="G47" s="106"/>
      <c r="H47" s="106"/>
      <c r="I47" s="106"/>
      <c r="J47" s="106"/>
      <c r="K47" s="107"/>
    </row>
    <row r="48" spans="6:11" x14ac:dyDescent="0.25">
      <c r="F48" s="62"/>
      <c r="G48" s="62"/>
      <c r="H48" s="62"/>
      <c r="I48" s="62"/>
      <c r="J48" s="62"/>
      <c r="K48" s="62"/>
    </row>
    <row r="49" spans="6:11" x14ac:dyDescent="0.25">
      <c r="F49" s="62"/>
      <c r="G49" s="62"/>
      <c r="H49" s="62"/>
      <c r="I49" s="62"/>
      <c r="J49" s="62"/>
      <c r="K49" s="62"/>
    </row>
    <row r="50" spans="6:11" x14ac:dyDescent="0.25">
      <c r="F50" s="62"/>
      <c r="G50" s="62"/>
      <c r="H50" s="62"/>
      <c r="I50" s="62"/>
      <c r="J50" s="62"/>
      <c r="K50" s="62"/>
    </row>
    <row r="51" spans="6:11" x14ac:dyDescent="0.25">
      <c r="F51" s="62"/>
      <c r="G51" s="62"/>
      <c r="H51" s="62"/>
      <c r="I51" s="62"/>
      <c r="J51" s="62"/>
      <c r="K51" s="62"/>
    </row>
    <row r="52" spans="6:11" x14ac:dyDescent="0.25">
      <c r="F52" s="62"/>
      <c r="G52" s="62"/>
      <c r="H52" s="62"/>
      <c r="I52" s="62"/>
      <c r="J52" s="62"/>
      <c r="K52" s="62"/>
    </row>
  </sheetData>
  <mergeCells count="6">
    <mergeCell ref="F19:K33"/>
    <mergeCell ref="F35:K47"/>
    <mergeCell ref="F7:K11"/>
    <mergeCell ref="F13:K17"/>
    <mergeCell ref="A1:D1"/>
    <mergeCell ref="F1:K5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ED46D-896D-43FF-891B-5CAD5E0381CE}">
  <sheetPr>
    <pageSetUpPr fitToPage="1"/>
  </sheetPr>
  <dimension ref="A1:P49"/>
  <sheetViews>
    <sheetView tabSelected="1" topLeftCell="A13" zoomScaleNormal="100" workbookViewId="0">
      <selection activeCell="I1" sqref="I1:P27"/>
    </sheetView>
  </sheetViews>
  <sheetFormatPr defaultRowHeight="15" x14ac:dyDescent="0.25"/>
  <sheetData>
    <row r="1" spans="1:16" ht="14.45" customHeight="1" x14ac:dyDescent="0.25">
      <c r="A1" s="63"/>
      <c r="B1" s="64"/>
      <c r="C1" s="64"/>
      <c r="D1" s="64"/>
      <c r="E1" s="64"/>
      <c r="F1" s="64"/>
      <c r="G1" s="65"/>
      <c r="I1" s="120" t="s">
        <v>50</v>
      </c>
      <c r="J1" s="132"/>
      <c r="K1" s="132"/>
      <c r="L1" s="132"/>
      <c r="M1" s="132"/>
      <c r="N1" s="132"/>
      <c r="O1" s="132"/>
      <c r="P1" s="121"/>
    </row>
    <row r="2" spans="1:16" x14ac:dyDescent="0.25">
      <c r="A2" s="66"/>
      <c r="G2" s="67"/>
      <c r="I2" s="122"/>
      <c r="J2" s="134"/>
      <c r="K2" s="134"/>
      <c r="L2" s="134"/>
      <c r="M2" s="134"/>
      <c r="N2" s="134"/>
      <c r="O2" s="134"/>
      <c r="P2" s="123"/>
    </row>
    <row r="3" spans="1:16" x14ac:dyDescent="0.25">
      <c r="A3" s="66"/>
      <c r="G3" s="67"/>
      <c r="I3" s="122"/>
      <c r="J3" s="134"/>
      <c r="K3" s="134"/>
      <c r="L3" s="134"/>
      <c r="M3" s="134"/>
      <c r="N3" s="134"/>
      <c r="O3" s="134"/>
      <c r="P3" s="123"/>
    </row>
    <row r="4" spans="1:16" x14ac:dyDescent="0.25">
      <c r="A4" s="66"/>
      <c r="G4" s="67"/>
      <c r="I4" s="122"/>
      <c r="J4" s="134"/>
      <c r="K4" s="134"/>
      <c r="L4" s="134"/>
      <c r="M4" s="134"/>
      <c r="N4" s="134"/>
      <c r="O4" s="134"/>
      <c r="P4" s="123"/>
    </row>
    <row r="5" spans="1:16" x14ac:dyDescent="0.25">
      <c r="A5" s="66"/>
      <c r="G5" s="67"/>
      <c r="I5" s="122"/>
      <c r="J5" s="134"/>
      <c r="K5" s="134"/>
      <c r="L5" s="134"/>
      <c r="M5" s="134"/>
      <c r="N5" s="134"/>
      <c r="O5" s="134"/>
      <c r="P5" s="123"/>
    </row>
    <row r="6" spans="1:16" x14ac:dyDescent="0.25">
      <c r="A6" s="66"/>
      <c r="G6" s="67"/>
      <c r="I6" s="122"/>
      <c r="J6" s="134"/>
      <c r="K6" s="134"/>
      <c r="L6" s="134"/>
      <c r="M6" s="134"/>
      <c r="N6" s="134"/>
      <c r="O6" s="134"/>
      <c r="P6" s="123"/>
    </row>
    <row r="7" spans="1:16" x14ac:dyDescent="0.25">
      <c r="A7" s="66"/>
      <c r="G7" s="67"/>
      <c r="I7" s="122"/>
      <c r="J7" s="134"/>
      <c r="K7" s="134"/>
      <c r="L7" s="134"/>
      <c r="M7" s="134"/>
      <c r="N7" s="134"/>
      <c r="O7" s="134"/>
      <c r="P7" s="123"/>
    </row>
    <row r="8" spans="1:16" x14ac:dyDescent="0.25">
      <c r="A8" s="66"/>
      <c r="G8" s="67"/>
      <c r="I8" s="122"/>
      <c r="J8" s="134"/>
      <c r="K8" s="134"/>
      <c r="L8" s="134"/>
      <c r="M8" s="134"/>
      <c r="N8" s="134"/>
      <c r="O8" s="134"/>
      <c r="P8" s="123"/>
    </row>
    <row r="9" spans="1:16" x14ac:dyDescent="0.25">
      <c r="A9" s="66"/>
      <c r="G9" s="67"/>
      <c r="I9" s="122"/>
      <c r="J9" s="134"/>
      <c r="K9" s="134"/>
      <c r="L9" s="134"/>
      <c r="M9" s="134"/>
      <c r="N9" s="134"/>
      <c r="O9" s="134"/>
      <c r="P9" s="123"/>
    </row>
    <row r="10" spans="1:16" x14ac:dyDescent="0.25">
      <c r="A10" s="66"/>
      <c r="G10" s="67"/>
      <c r="I10" s="122"/>
      <c r="J10" s="134"/>
      <c r="K10" s="134"/>
      <c r="L10" s="134"/>
      <c r="M10" s="134"/>
      <c r="N10" s="134"/>
      <c r="O10" s="134"/>
      <c r="P10" s="123"/>
    </row>
    <row r="11" spans="1:16" x14ac:dyDescent="0.25">
      <c r="A11" s="66"/>
      <c r="G11" s="67"/>
      <c r="I11" s="122"/>
      <c r="J11" s="134"/>
      <c r="K11" s="134"/>
      <c r="L11" s="134"/>
      <c r="M11" s="134"/>
      <c r="N11" s="134"/>
      <c r="O11" s="134"/>
      <c r="P11" s="123"/>
    </row>
    <row r="12" spans="1:16" x14ac:dyDescent="0.25">
      <c r="A12" s="66"/>
      <c r="G12" s="67"/>
      <c r="I12" s="122"/>
      <c r="J12" s="134"/>
      <c r="K12" s="134"/>
      <c r="L12" s="134"/>
      <c r="M12" s="134"/>
      <c r="N12" s="134"/>
      <c r="O12" s="134"/>
      <c r="P12" s="123"/>
    </row>
    <row r="13" spans="1:16" x14ac:dyDescent="0.25">
      <c r="A13" s="66"/>
      <c r="G13" s="67"/>
      <c r="I13" s="122"/>
      <c r="J13" s="134"/>
      <c r="K13" s="134"/>
      <c r="L13" s="134"/>
      <c r="M13" s="134"/>
      <c r="N13" s="134"/>
      <c r="O13" s="134"/>
      <c r="P13" s="123"/>
    </row>
    <row r="14" spans="1:16" x14ac:dyDescent="0.25">
      <c r="A14" s="66"/>
      <c r="G14" s="67"/>
      <c r="I14" s="122"/>
      <c r="J14" s="134"/>
      <c r="K14" s="134"/>
      <c r="L14" s="134"/>
      <c r="M14" s="134"/>
      <c r="N14" s="134"/>
      <c r="O14" s="134"/>
      <c r="P14" s="123"/>
    </row>
    <row r="15" spans="1:16" ht="15.75" thickBot="1" x14ac:dyDescent="0.3">
      <c r="A15" s="68"/>
      <c r="B15" s="69"/>
      <c r="C15" s="69"/>
      <c r="D15" s="69"/>
      <c r="E15" s="69"/>
      <c r="F15" s="69"/>
      <c r="G15" s="70"/>
      <c r="I15" s="122"/>
      <c r="J15" s="134"/>
      <c r="K15" s="134"/>
      <c r="L15" s="134"/>
      <c r="M15" s="134"/>
      <c r="N15" s="134"/>
      <c r="O15" s="134"/>
      <c r="P15" s="123"/>
    </row>
    <row r="16" spans="1:16" ht="15.75" thickBot="1" x14ac:dyDescent="0.3">
      <c r="I16" s="122"/>
      <c r="J16" s="134"/>
      <c r="K16" s="134"/>
      <c r="L16" s="134"/>
      <c r="M16" s="134"/>
      <c r="N16" s="134"/>
      <c r="O16" s="134"/>
      <c r="P16" s="123"/>
    </row>
    <row r="17" spans="1:16" ht="15" customHeight="1" x14ac:dyDescent="0.25">
      <c r="A17" s="120" t="s">
        <v>47</v>
      </c>
      <c r="B17" s="121"/>
      <c r="C17" s="120" t="s">
        <v>48</v>
      </c>
      <c r="D17" s="121"/>
      <c r="E17" s="126" t="s">
        <v>49</v>
      </c>
      <c r="F17" s="127"/>
      <c r="I17" s="122"/>
      <c r="J17" s="134"/>
      <c r="K17" s="134"/>
      <c r="L17" s="134"/>
      <c r="M17" s="134"/>
      <c r="N17" s="134"/>
      <c r="O17" s="134"/>
      <c r="P17" s="123"/>
    </row>
    <row r="18" spans="1:16" x14ac:dyDescent="0.25">
      <c r="A18" s="122"/>
      <c r="B18" s="123"/>
      <c r="C18" s="122"/>
      <c r="D18" s="123"/>
      <c r="E18" s="128"/>
      <c r="F18" s="129"/>
      <c r="I18" s="122"/>
      <c r="J18" s="134"/>
      <c r="K18" s="134"/>
      <c r="L18" s="134"/>
      <c r="M18" s="134"/>
      <c r="N18" s="134"/>
      <c r="O18" s="134"/>
      <c r="P18" s="123"/>
    </row>
    <row r="19" spans="1:16" x14ac:dyDescent="0.25">
      <c r="A19" s="122"/>
      <c r="B19" s="123"/>
      <c r="C19" s="122"/>
      <c r="D19" s="123"/>
      <c r="E19" s="128"/>
      <c r="F19" s="129"/>
      <c r="I19" s="122"/>
      <c r="J19" s="134"/>
      <c r="K19" s="134"/>
      <c r="L19" s="134"/>
      <c r="M19" s="134"/>
      <c r="N19" s="134"/>
      <c r="O19" s="134"/>
      <c r="P19" s="123"/>
    </row>
    <row r="20" spans="1:16" x14ac:dyDescent="0.25">
      <c r="A20" s="122"/>
      <c r="B20" s="123"/>
      <c r="C20" s="122"/>
      <c r="D20" s="123"/>
      <c r="E20" s="128"/>
      <c r="F20" s="129"/>
      <c r="I20" s="122"/>
      <c r="J20" s="134"/>
      <c r="K20" s="134"/>
      <c r="L20" s="134"/>
      <c r="M20" s="134"/>
      <c r="N20" s="134"/>
      <c r="O20" s="134"/>
      <c r="P20" s="123"/>
    </row>
    <row r="21" spans="1:16" x14ac:dyDescent="0.25">
      <c r="A21" s="122"/>
      <c r="B21" s="123"/>
      <c r="C21" s="122"/>
      <c r="D21" s="123"/>
      <c r="E21" s="128"/>
      <c r="F21" s="129"/>
      <c r="I21" s="122"/>
      <c r="J21" s="134"/>
      <c r="K21" s="134"/>
      <c r="L21" s="134"/>
      <c r="M21" s="134"/>
      <c r="N21" s="134"/>
      <c r="O21" s="134"/>
      <c r="P21" s="123"/>
    </row>
    <row r="22" spans="1:16" x14ac:dyDescent="0.25">
      <c r="A22" s="122"/>
      <c r="B22" s="123"/>
      <c r="C22" s="122"/>
      <c r="D22" s="123"/>
      <c r="E22" s="128"/>
      <c r="F22" s="129"/>
      <c r="I22" s="122"/>
      <c r="J22" s="134"/>
      <c r="K22" s="134"/>
      <c r="L22" s="134"/>
      <c r="M22" s="134"/>
      <c r="N22" s="134"/>
      <c r="O22" s="134"/>
      <c r="P22" s="123"/>
    </row>
    <row r="23" spans="1:16" x14ac:dyDescent="0.25">
      <c r="A23" s="122"/>
      <c r="B23" s="123"/>
      <c r="C23" s="122"/>
      <c r="D23" s="123"/>
      <c r="E23" s="128"/>
      <c r="F23" s="129"/>
      <c r="I23" s="122"/>
      <c r="J23" s="134"/>
      <c r="K23" s="134"/>
      <c r="L23" s="134"/>
      <c r="M23" s="134"/>
      <c r="N23" s="134"/>
      <c r="O23" s="134"/>
      <c r="P23" s="123"/>
    </row>
    <row r="24" spans="1:16" ht="15.75" thickBot="1" x14ac:dyDescent="0.3">
      <c r="A24" s="124"/>
      <c r="B24" s="125"/>
      <c r="C24" s="124"/>
      <c r="D24" s="125"/>
      <c r="E24" s="130"/>
      <c r="F24" s="131"/>
      <c r="I24" s="122"/>
      <c r="J24" s="134"/>
      <c r="K24" s="134"/>
      <c r="L24" s="134"/>
      <c r="M24" s="134"/>
      <c r="N24" s="134"/>
      <c r="O24" s="134"/>
      <c r="P24" s="123"/>
    </row>
    <row r="25" spans="1:16" x14ac:dyDescent="0.25">
      <c r="I25" s="122"/>
      <c r="J25" s="134"/>
      <c r="K25" s="134"/>
      <c r="L25" s="134"/>
      <c r="M25" s="134"/>
      <c r="N25" s="134"/>
      <c r="O25" s="134"/>
      <c r="P25" s="123"/>
    </row>
    <row r="26" spans="1:16" x14ac:dyDescent="0.25">
      <c r="I26" s="122"/>
      <c r="J26" s="134"/>
      <c r="K26" s="134"/>
      <c r="L26" s="134"/>
      <c r="M26" s="134"/>
      <c r="N26" s="134"/>
      <c r="O26" s="134"/>
      <c r="P26" s="123"/>
    </row>
    <row r="27" spans="1:16" ht="15.75" thickBot="1" x14ac:dyDescent="0.3">
      <c r="I27" s="124"/>
      <c r="J27" s="133"/>
      <c r="K27" s="133"/>
      <c r="L27" s="133"/>
      <c r="M27" s="133"/>
      <c r="N27" s="133"/>
      <c r="O27" s="133"/>
      <c r="P27" s="125"/>
    </row>
    <row r="28" spans="1:16" ht="15.75" thickBot="1" x14ac:dyDescent="0.3">
      <c r="I28" s="135"/>
      <c r="J28" s="135"/>
      <c r="K28" s="135"/>
      <c r="L28" s="135"/>
      <c r="M28" s="135"/>
      <c r="N28" s="135"/>
      <c r="O28" s="135"/>
      <c r="P28" s="135"/>
    </row>
    <row r="29" spans="1:16" ht="15" customHeight="1" x14ac:dyDescent="0.25">
      <c r="I29" s="120" t="s">
        <v>51</v>
      </c>
      <c r="J29" s="132"/>
      <c r="K29" s="132"/>
      <c r="L29" s="132"/>
      <c r="M29" s="132"/>
      <c r="N29" s="132"/>
      <c r="O29" s="132"/>
      <c r="P29" s="121"/>
    </row>
    <row r="30" spans="1:16" x14ac:dyDescent="0.25">
      <c r="I30" s="122"/>
      <c r="J30" s="134"/>
      <c r="K30" s="134"/>
      <c r="L30" s="134"/>
      <c r="M30" s="134"/>
      <c r="N30" s="134"/>
      <c r="O30" s="134"/>
      <c r="P30" s="123"/>
    </row>
    <row r="31" spans="1:16" x14ac:dyDescent="0.25">
      <c r="I31" s="122"/>
      <c r="J31" s="134"/>
      <c r="K31" s="134"/>
      <c r="L31" s="134"/>
      <c r="M31" s="134"/>
      <c r="N31" s="134"/>
      <c r="O31" s="134"/>
      <c r="P31" s="123"/>
    </row>
    <row r="32" spans="1:16" x14ac:dyDescent="0.25">
      <c r="I32" s="122"/>
      <c r="J32" s="134"/>
      <c r="K32" s="134"/>
      <c r="L32" s="134"/>
      <c r="M32" s="134"/>
      <c r="N32" s="134"/>
      <c r="O32" s="134"/>
      <c r="P32" s="123"/>
    </row>
    <row r="33" spans="9:16" x14ac:dyDescent="0.25">
      <c r="I33" s="122"/>
      <c r="J33" s="134"/>
      <c r="K33" s="134"/>
      <c r="L33" s="134"/>
      <c r="M33" s="134"/>
      <c r="N33" s="134"/>
      <c r="O33" s="134"/>
      <c r="P33" s="123"/>
    </row>
    <row r="34" spans="9:16" x14ac:dyDescent="0.25">
      <c r="I34" s="122"/>
      <c r="J34" s="134"/>
      <c r="K34" s="134"/>
      <c r="L34" s="134"/>
      <c r="M34" s="134"/>
      <c r="N34" s="134"/>
      <c r="O34" s="134"/>
      <c r="P34" s="123"/>
    </row>
    <row r="35" spans="9:16" x14ac:dyDescent="0.25">
      <c r="I35" s="122"/>
      <c r="J35" s="134"/>
      <c r="K35" s="134"/>
      <c r="L35" s="134"/>
      <c r="M35" s="134"/>
      <c r="N35" s="134"/>
      <c r="O35" s="134"/>
      <c r="P35" s="123"/>
    </row>
    <row r="36" spans="9:16" x14ac:dyDescent="0.25">
      <c r="I36" s="122"/>
      <c r="J36" s="134"/>
      <c r="K36" s="134"/>
      <c r="L36" s="134"/>
      <c r="M36" s="134"/>
      <c r="N36" s="134"/>
      <c r="O36" s="134"/>
      <c r="P36" s="123"/>
    </row>
    <row r="37" spans="9:16" x14ac:dyDescent="0.25">
      <c r="I37" s="122"/>
      <c r="J37" s="134"/>
      <c r="K37" s="134"/>
      <c r="L37" s="134"/>
      <c r="M37" s="134"/>
      <c r="N37" s="134"/>
      <c r="O37" s="134"/>
      <c r="P37" s="123"/>
    </row>
    <row r="38" spans="9:16" x14ac:dyDescent="0.25">
      <c r="I38" s="122"/>
      <c r="J38" s="134"/>
      <c r="K38" s="134"/>
      <c r="L38" s="134"/>
      <c r="M38" s="134"/>
      <c r="N38" s="134"/>
      <c r="O38" s="134"/>
      <c r="P38" s="123"/>
    </row>
    <row r="39" spans="9:16" x14ac:dyDescent="0.25">
      <c r="I39" s="122"/>
      <c r="J39" s="134"/>
      <c r="K39" s="134"/>
      <c r="L39" s="134"/>
      <c r="M39" s="134"/>
      <c r="N39" s="134"/>
      <c r="O39" s="134"/>
      <c r="P39" s="123"/>
    </row>
    <row r="40" spans="9:16" x14ac:dyDescent="0.25">
      <c r="I40" s="122"/>
      <c r="J40" s="134"/>
      <c r="K40" s="134"/>
      <c r="L40" s="134"/>
      <c r="M40" s="134"/>
      <c r="N40" s="134"/>
      <c r="O40" s="134"/>
      <c r="P40" s="123"/>
    </row>
    <row r="41" spans="9:16" ht="15.75" thickBot="1" x14ac:dyDescent="0.3">
      <c r="I41" s="124"/>
      <c r="J41" s="133"/>
      <c r="K41" s="133"/>
      <c r="L41" s="133"/>
      <c r="M41" s="133"/>
      <c r="N41" s="133"/>
      <c r="O41" s="133"/>
      <c r="P41" s="125"/>
    </row>
    <row r="42" spans="9:16" x14ac:dyDescent="0.25">
      <c r="I42" s="135"/>
      <c r="J42" s="135"/>
      <c r="K42" s="135"/>
      <c r="L42" s="135"/>
      <c r="M42" s="135"/>
      <c r="N42" s="135"/>
    </row>
    <row r="43" spans="9:16" x14ac:dyDescent="0.25">
      <c r="I43" s="135"/>
      <c r="J43" s="135"/>
      <c r="K43" s="135"/>
      <c r="L43" s="135"/>
      <c r="M43" s="135"/>
      <c r="N43" s="135"/>
    </row>
    <row r="44" spans="9:16" x14ac:dyDescent="0.25">
      <c r="I44" s="135"/>
      <c r="J44" s="135"/>
      <c r="K44" s="135"/>
      <c r="L44" s="135"/>
      <c r="M44" s="135"/>
      <c r="N44" s="135"/>
    </row>
    <row r="45" spans="9:16" x14ac:dyDescent="0.25">
      <c r="I45" s="135"/>
      <c r="J45" s="135"/>
      <c r="K45" s="135"/>
      <c r="L45" s="135"/>
      <c r="M45" s="135"/>
      <c r="N45" s="135"/>
    </row>
    <row r="46" spans="9:16" x14ac:dyDescent="0.25">
      <c r="I46" s="135"/>
      <c r="J46" s="135"/>
      <c r="K46" s="135"/>
      <c r="L46" s="135"/>
      <c r="M46" s="135"/>
      <c r="N46" s="135"/>
    </row>
    <row r="47" spans="9:16" x14ac:dyDescent="0.25">
      <c r="I47" s="135"/>
      <c r="J47" s="135"/>
      <c r="K47" s="135"/>
      <c r="L47" s="135"/>
      <c r="M47" s="135"/>
      <c r="N47" s="135"/>
    </row>
    <row r="48" spans="9:16" x14ac:dyDescent="0.25">
      <c r="I48" s="135"/>
      <c r="J48" s="135"/>
      <c r="K48" s="135"/>
      <c r="L48" s="135"/>
      <c r="M48" s="135"/>
      <c r="N48" s="135"/>
    </row>
    <row r="49" spans="9:14" x14ac:dyDescent="0.25">
      <c r="I49" s="135"/>
      <c r="J49" s="135"/>
      <c r="K49" s="135"/>
      <c r="L49" s="135"/>
      <c r="M49" s="135"/>
      <c r="N49" s="135"/>
    </row>
  </sheetData>
  <mergeCells count="5">
    <mergeCell ref="A17:B24"/>
    <mergeCell ref="C17:D24"/>
    <mergeCell ref="E17:F24"/>
    <mergeCell ref="I1:P27"/>
    <mergeCell ref="I29:P41"/>
  </mergeCells>
  <pageMargins left="0.25" right="0.25" top="0.75" bottom="0.75" header="0.3" footer="0.3"/>
  <pageSetup paperSize="11" scale="52" fitToWidth="0" orientation="landscape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ee36cd-3148-4f5a-9061-5391a713f90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3234B990D77749B28E15763916E2FE" ma:contentTypeVersion="8" ma:contentTypeDescription="Create a new document." ma:contentTypeScope="" ma:versionID="95071c23dadd51797a24360ac450260f">
  <xsd:schema xmlns:xsd="http://www.w3.org/2001/XMLSchema" xmlns:xs="http://www.w3.org/2001/XMLSchema" xmlns:p="http://schemas.microsoft.com/office/2006/metadata/properties" xmlns:ns3="dcee36cd-3148-4f5a-9061-5391a713f90c" targetNamespace="http://schemas.microsoft.com/office/2006/metadata/properties" ma:root="true" ma:fieldsID="da58f6d663233bfe51cb52902d556c69" ns3:_="">
    <xsd:import namespace="dcee36cd-3148-4f5a-9061-5391a713f90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ee36cd-3148-4f5a-9061-5391a713f90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16DBDE-FD10-4618-8536-77C28970B2B1}">
  <ds:schemaRefs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dcee36cd-3148-4f5a-9061-5391a713f90c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D3D5012-D6FE-4D35-B2AA-1C00D0AF56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3AA99E-CE6F-43F6-9EC7-12CFD52AB9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ee36cd-3148-4f5a-9061-5391a713f9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Identificação_das_variaveis</vt:lpstr>
      <vt:lpstr>Graficos</vt:lpstr>
      <vt:lpstr>Entrega 2 analise de dados</vt:lpstr>
      <vt:lpstr>Grafico entrega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25027387</dc:creator>
  <cp:keywords/>
  <dc:description/>
  <cp:lastModifiedBy>Stephanie Macedo da Silva - 25027387</cp:lastModifiedBy>
  <cp:revision/>
  <cp:lastPrinted>2026-05-07T23:11:03Z</cp:lastPrinted>
  <dcterms:created xsi:type="dcterms:W3CDTF">2026-03-07T11:30:59Z</dcterms:created>
  <dcterms:modified xsi:type="dcterms:W3CDTF">2026-05-07T23:13:21Z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0x010100C43234B990D77749B28E15763916E2FE</vt:lpwstr>
  </property>
</Properties>
</file>